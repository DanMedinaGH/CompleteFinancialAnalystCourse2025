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54D0D2CB-4C12-4D6E-6EDF-ACB5E8E520A3}"/>
  <workbookPr filterPrivacy="1" codeName="ThisWorkbook" defaultThemeVersion="124226"/>
  <xr:revisionPtr revIDLastSave="0" documentId="13_ncr:1_{F15FC8A4-C169-4415-86E8-1BA73BF708AE}" xr6:coauthVersionLast="47" xr6:coauthVersionMax="47" xr10:uidLastSave="{00000000-0000-0000-0000-000000000000}"/>
  <bookViews>
    <workbookView xWindow="-108" yWindow="-108" windowWidth="23256" windowHeight="13896" firstSheet="9" activeTab="1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  <definedName name="_xlchart.v1.0" hidden="1">'3.4 Bridge Chart'!$B$4:$B$8</definedName>
    <definedName name="_xlchart.v1.1" hidden="1">'3.4 Bridge Chart'!$C$4:$C$8</definedName>
    <definedName name="_xlchart.v1.10" hidden="1">'3.4 Bridge Chart'!$B$4:$B$8</definedName>
    <definedName name="_xlchart.v1.11" hidden="1">'3.4 Bridge Chart'!$C$4:$C$8</definedName>
    <definedName name="_xlchart.v1.12" hidden="1">'3.4 Bridge Chart'!$B$4:$B$8</definedName>
    <definedName name="_xlchart.v1.13" hidden="1">'3.4 Bridge Chart'!$C$4:$C$8</definedName>
    <definedName name="_xlchart.v1.14" hidden="1">'3.4 Bridge Chart'!$B$4:$B$8</definedName>
    <definedName name="_xlchart.v1.15" hidden="1">'3.4 Bridge Chart'!$C$4:$C$8</definedName>
    <definedName name="_xlchart.v1.2" hidden="1">'3.4 Bridge Chart'!$B$4:$B$8</definedName>
    <definedName name="_xlchart.v1.3" hidden="1">'3.4 Bridge Chart'!$C$4:$C$8</definedName>
    <definedName name="_xlchart.v1.4" hidden="1">'3.4 Bridge Chart'!$B$4:$B$8</definedName>
    <definedName name="_xlchart.v1.5" hidden="1">'3.4 Bridge Chart'!$C$4:$C$8</definedName>
    <definedName name="_xlchart.v1.6" hidden="1">'3.4 Bridge Chart'!$B$4:$B$8</definedName>
    <definedName name="_xlchart.v1.7" hidden="1">'3.4 Bridge Chart'!$C$4:$C$8</definedName>
    <definedName name="_xlchart.v1.8" hidden="1">'3.4 Bridge Chart'!$B$4:$B$8</definedName>
    <definedName name="_xlchart.v1.9" hidden="1">'3.4 Bridge Chart'!$C$4:$C$8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7" l="1"/>
  <c r="C6" i="27"/>
  <c r="C5" i="27"/>
  <c r="C8" i="27"/>
  <c r="C4" i="27"/>
  <c r="E3" i="26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6" i="21" l="1"/>
  <c r="E12" i="21"/>
  <c r="H12" i="21" s="1"/>
  <c r="E4" i="21"/>
  <c r="C21" i="21"/>
  <c r="C15" i="21"/>
  <c r="C12" i="21"/>
  <c r="D11" i="21"/>
  <c r="D32" i="21"/>
  <c r="D4" i="21"/>
  <c r="H4" i="21" s="1"/>
  <c r="D18" i="21"/>
  <c r="D13" i="21"/>
  <c r="E18" i="21"/>
  <c r="E6" i="21"/>
  <c r="E6" i="28" s="1"/>
  <c r="C4" i="29"/>
  <c r="C4" i="28"/>
  <c r="C5" i="29"/>
  <c r="C5" i="28"/>
  <c r="G14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<sst xmlns="http://schemas.openxmlformats.org/spreadsheetml/2006/main" count="969" uniqueCount="259">
  <si>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</si>
  <si>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</si>
  <si>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</si>
  <si>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</si>
  <si>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</si>
  <si>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</si>
  <si>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</si>
  <si>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</si>
  <si>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</si>
  <si>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</si>
  <si>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</si>
  <si>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</si>
  <si>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</si>
  <si>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</si>
  <si>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</si>
  <si>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</si>
  <si>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</si>
  <si>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</si>
  <si>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</si>
  <si>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</si>
  <si>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</si>
  <si>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</si>
  <si>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</si>
  <si>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</si>
  <si>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</si>
  <si>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</si>
  <si>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</si>
  <si>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</si>
  <si>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</si>
  <si>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</si>
  <si>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</si>
  <si>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</si>
  <si>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</si>
  <si>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</si>
  <si>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</si>
  <si>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</si>
  <si>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</si>
  <si>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</si>
  <si>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</si>
  <si>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</si>
  <si>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</si>
  <si>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</si>
  <si>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</si>
  <si>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</si>
  <si>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</si>
  <si>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</si>
  <si>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</si>
  <si>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</si>
  <si>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</si>
  <si>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</si>
  <si>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</si>
  <si>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</si>
  <si>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</si>
  <si>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</si>
  <si>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</si>
  <si>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</si>
  <si>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</si>
  <si>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</si>
  <si>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</si>
  <si>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</si>
  <si>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</si>
  <si>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</si>
  <si>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</si>
  <si>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</si>
  <si>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</si>
  <si>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</si>
  <si>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</si>
  <si>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</si>
  <si>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</si>
  <si>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</si>
  <si>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</si>
  <si>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</si>
  <si>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</si>
  <si>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</si>
  <si>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</si>
  <si>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</si>
  <si>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</si>
  <si>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</si>
  <si>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</si>
  <si>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</si>
  <si>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</si>
  <si>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</si>
  <si>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</si>
  <si>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</si>
  <si>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</si>
  <si>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</si>
  <si>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</si>
  <si>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</si>
  <si>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</si>
  <si>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</si>
  <si>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</si>
  <si>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</si>
  <si>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</si>
  <si>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</si>
  <si>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</si>
  <si>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</si>
  <si>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</si>
  <si>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</si>
  <si>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</si>
  <si>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</si>
  <si>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</si>
  <si>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</si>
  <si>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</si>
  <si>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</si>
  <si>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</si>
  <si>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</si>
  <si>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</si>
  <si>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</si>
  <si>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</si>
  <si>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</si>
  <si>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</si>
  <si>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</si>
  <si>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</si>
  <si>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</si>
  <si>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</si>
  <si>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</si>
  <si>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</si>
  <si>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</si>
  <si>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</si>
  <si>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</si>
  <si>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</si>
  <si>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</si>
  <si>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</si>
  <si>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</si>
  <si>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</si>
  <si>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</si>
  <si>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</si>
  <si>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</si>
  <si>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</si>
  <si>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</si>
  <si>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</si>
  <si>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</si>
  <si>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</si>
  <si>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</si>
  <si>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</si>
  <si>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</si>
  <si>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</si>
  <si>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</si>
  <si>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</si>
  <si>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</si>
  <si>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</si>
  <si>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</si>
  <si>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</si>
  <si>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</si>
  <si>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</si>
  <si>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</si>
  <si>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</si>
  <si>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</si>
  <si>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</si>
  <si>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</si>
  <si>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</si>
  <si>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</si>
  <si>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</si>
  <si>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</si>
  <si>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</si>
  <si>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</si>
  <si>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</si>
  <si>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</si>
  <si>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</si>
  <si>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</si>
  <si>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</si>
  <si>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</si>
  <si>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</si>
  <si>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</si>
  <si>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</si>
  <si>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</si>
  <si>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</si>
  <si>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</si>
  <si>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</si>
  <si>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</si>
  <si>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</si>
  <si>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</si>
  <si>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</si>
  <si>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</si>
  <si>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</si>
  <si>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</si>
  <si>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</si>
  <si>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</si>
  <si>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</si>
  <si>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</si>
  <si>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</si>
  <si>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</si>
  <si>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</si>
  <si>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</si>
  <si>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</si>
  <si>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</si>
  <si>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</si>
  <si>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</si>
  <si>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</si>
  <si>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</si>
  <si>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</si>
  <si>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</si>
  <si>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</si>
  <si>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</si>
  <si>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</si>
  <si>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</si>
  <si>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</si>
  <si>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</si>
  <si>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</si>
  <si>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</si>
  <si>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</si>
  <si>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</si>
  <si>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</si>
  <si>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</si>
  <si>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</si>
  <si>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</si>
  <si>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</si>
  <si>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</si>
  <si>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</si>
  <si>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</si>
  <si>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</si>
  <si>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</si>
  <si>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</si>
  <si>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</si>
  <si>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</si>
  <si>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</si>
  <si>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</si>
  <si>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</si>
  <si>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</si>
  <si>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</si>
  <si>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</si>
  <si>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</si>
  <si>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</si>
  <si>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</si>
  <si>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</si>
  <si>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</si>
  <si>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</si>
  <si>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</si>
  <si>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</si>
  <si>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</si>
  <si>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</si>
  <si>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</si>
  <si>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</si>
  <si>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</si>
  <si>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</si>
  <si>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</si>
  <si>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</si>
  <si>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</si>
  <si>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</si>
  <si>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</si>
  <si>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</si>
  <si>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</si>
  <si>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</si>
  <si>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</si>
  <si>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</si>
  <si>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</si>
  <si>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</si>
  <si>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</si>
  <si>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</si>
  <si>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</si>
  <si>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</si>
  <si>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</si>
  <si>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</si>
  <si>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</si>
  <si>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</si>
  <si>
    <t>EBITDA FY17</t>
  </si>
  <si>
    <t>Change in Variable 
costs</t>
  </si>
  <si>
    <t>Change in Opex</t>
  </si>
  <si>
    <t>EBITDA 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</si>
</sst>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  <numFmt numFmtId="167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3" fillId="2" borderId="2" xfId="0" applyNumberFormat="1" applyFont="1" applyFill="1" applyBorder="1"/>
    <xf numFmtId="164" fontId="15" fillId="2" borderId="3" xfId="0" applyNumberFormat="1" applyFont="1" applyFill="1" applyBorder="1"/>
    <xf numFmtId="164" fontId="9" fillId="3" borderId="3" xfId="0" applyNumberFormat="1" applyFont="1" applyFill="1" applyBorder="1"/>
    <xf numFmtId="164" fontId="15" fillId="2" borderId="4" xfId="0" applyNumberFormat="1" applyFont="1" applyFill="1" applyBorder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  <xf numFmtId="2" fontId="1" fillId="2" borderId="0" xfId="0" applyNumberFormat="1" applyFont="1" applyFill="1"/>
    <xf numFmtId="167" fontId="1" fillId="2" borderId="0" xfId="0" applyNumberFormat="1" applyFont="1" applyFill="1"/>
    <xf numFmtId="166" fontId="1" fillId="2" borderId="0" xfId="4" applyNumberFormat="1" applyFont="1" applyFill="1"/>
    <xf numFmtId="166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7" fontId="17" fillId="2" borderId="0" xfId="0" applyNumberFormat="1" applyFont="1" applyFill="1"/>
    <xf numFmtId="167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7" fontId="17" fillId="2" borderId="0" xfId="0" applyNumberFormat="1" applyFont="1" applyFill="1" applyAlignment="1">
      <alignment vertical="top" wrapText="1"/>
    </xf>
    <xf numFmtId="165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3.5440613026819917E-2"/>
          <c:y val="4.557976279040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3-4586-A6D1-91F628CEDC19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383-4586-A6D1-91F628CEDC1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83-4586-A6D1-91F628CEDC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3-4586-A6D1-91F628CED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FY16-FY18</a:t>
            </a:r>
            <a:r>
              <a:rPr lang="en-US" sz="900" baseline="0">
                <a:solidFill>
                  <a:srgbClr val="002060"/>
                </a:solidFill>
              </a:rPr>
              <a:t> Revenues and Gross Margin %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4631889763779524E-2"/>
          <c:y val="2.7777777777777776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Revenues</c:v>
          </c:tx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Lit>
              <c:formatCode>0.0</c:formatCode>
              <c:ptCount val="3"/>
              <c:pt idx="0">
                <c:v>22.515251444</c:v>
              </c:pt>
              <c:pt idx="1">
                <c:v>26.032605005000001</c:v>
              </c:pt>
              <c:pt idx="2">
                <c:v>26.314598263000001</c:v>
              </c:pt>
            </c:numLit>
          </c:val>
          <c:extLst>
            <c:ext xmlns:c16="http://schemas.microsoft.com/office/drawing/2014/chart" uri="{C3380CC4-5D6E-409C-BE32-E72D297353CC}">
              <c16:uniqueId val="{00000000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14400"/>
        <c:axId val="264215936"/>
      </c:areaChart>
      <c:lineChart>
        <c:grouping val="standard"/>
        <c:varyColors val="0"/>
        <c:ser>
          <c:idx val="1"/>
          <c:order val="1"/>
          <c:tx>
            <c:v>Gross Margin %</c:v>
          </c:tx>
          <c:marker>
            <c:symbol val="none"/>
          </c:marker>
          <c:val>
            <c:numLit>
              <c:formatCode>0.0%</c:formatCode>
              <c:ptCount val="3"/>
              <c:pt idx="0">
                <c:v>0.80329281353949789</c:v>
              </c:pt>
              <c:pt idx="1">
                <c:v>0.79014052477841912</c:v>
              </c:pt>
              <c:pt idx="2">
                <c:v>0.78437246085651935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826624"/>
        <c:axId val="263506944"/>
      </c:lineChart>
      <c:catAx>
        <c:axId val="2642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15936"/>
        <c:crosses val="autoZero"/>
        <c:auto val="1"/>
        <c:lblAlgn val="ctr"/>
        <c:lblOffset val="100"/>
        <c:noMultiLvlLbl val="0"/>
      </c:catAx>
      <c:valAx>
        <c:axId val="264215936"/>
        <c:scaling>
          <c:orientation val="minMax"/>
          <c:max val="30"/>
          <c:min val="2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5000"/>
                </a:schemeClr>
              </a:solidFill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noFill/>
          </a:ln>
        </c:spPr>
        <c:crossAx val="264214400"/>
        <c:crosses val="autoZero"/>
        <c:crossBetween val="between"/>
        <c:majorUnit val="2"/>
      </c:valAx>
      <c:valAx>
        <c:axId val="263506944"/>
        <c:scaling>
          <c:orientation val="minMax"/>
          <c:max val="0.82000000000000006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324826624"/>
        <c:crosses val="max"/>
        <c:crossBetween val="between"/>
        <c:majorUnit val="2.0000000000000004E-2"/>
      </c:valAx>
      <c:catAx>
        <c:axId val="32482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506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FY16-FY18 Revenues and Gross Margin %</a:t>
            </a:r>
            <a:endParaRPr lang="en-US" sz="900" b="1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3.513274888158781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chart'!$C$2:$E$3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75520"/>
        <c:axId val="583171912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90280"/>
        <c:axId val="583196840"/>
      </c:lineChart>
      <c:catAx>
        <c:axId val="58317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1912"/>
        <c:crosses val="autoZero"/>
        <c:auto val="1"/>
        <c:lblAlgn val="ctr"/>
        <c:lblOffset val="100"/>
        <c:noMultiLvlLbl val="0"/>
      </c:catAx>
      <c:valAx>
        <c:axId val="58317191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5520"/>
        <c:crosses val="autoZero"/>
        <c:crossBetween val="between"/>
        <c:majorUnit val="2"/>
      </c:valAx>
      <c:valAx>
        <c:axId val="58319684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90280"/>
        <c:crosses val="max"/>
        <c:crossBetween val="between"/>
        <c:majorUnit val="2.0000000000000004E-2"/>
      </c:valAx>
      <c:catAx>
        <c:axId val="583190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8319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val">
        <cx:f>_xlchart.v1.9</cx:f>
      </cx:numDim>
    </cx:data>
  </cx:chartData>
  <cx:chart>
    <cx:title pos="t" align="ctr" overlay="0">
      <cx:tx>
        <cx:txData>
          <cx:v>EBITDA Bridge: FY17-FY18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900" b="1" i="0" u="none" strike="noStrike" baseline="0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Bridge: FY17-FY18</a:t>
          </a:r>
        </a:p>
      </cx:txPr>
    </cx:title>
    <cx:plotArea>
      <cx:plotAreaRegion>
        <cx:series layoutId="waterfall" uniqueId="{57DB8BC7-AD38-4B1B-A0CD-A8F0EBE6D03A}">
          <cx:dataPt idx="0">
            <cx:spPr>
              <a:solidFill>
                <a:srgbClr val="1F497D">
                  <a:lumMod val="50000"/>
                </a:srgbClr>
              </a:solidFill>
            </cx:spPr>
          </cx:dataPt>
          <cx:dataPt idx="1">
            <cx:spPr>
              <a:solidFill>
                <a:srgbClr val="9BBB59"/>
              </a:solidFill>
            </cx:spPr>
          </cx:dataPt>
          <cx:dataPt idx="3">
            <cx:spPr>
              <a:solidFill>
                <a:srgbClr val="9BBB59"/>
              </a:solidFill>
            </cx:spPr>
          </cx:dataPt>
          <cx:dataPt idx="4">
            <cx:spPr>
              <a:solidFill>
                <a:srgbClr val="1F497D">
                  <a:lumMod val="50000"/>
                </a:srgbClr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800" b="0" i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8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8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endParaRPr lang="en-US" sz="800">
            <a:latin typeface="Arial" panose="020B0604020202020204" pitchFamily="34" charset="0"/>
            <a:cs typeface="Arial" panose="020B0604020202020204" pitchFamily="34" charset="0"/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575456</xdr:colOff>
      <xdr:row>12</xdr:row>
      <xdr:rowOff>48211</xdr:rowOff>
    </xdr:from>
    <xdr:to>
      <xdr:col>13</xdr:col>
      <xdr:colOff>491636</xdr:colOff>
      <xdr:row>26</xdr:row>
      <xdr:rowOff>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1131132</xdr:colOff>
      <xdr:row>12</xdr:row>
      <xdr:rowOff>48211</xdr:rowOff>
    </xdr:from>
    <xdr:to>
      <xdr:col>7</xdr:col>
      <xdr:colOff>413234</xdr:colOff>
      <xdr:row>26</xdr:row>
      <xdr:rowOff>8116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6775D-E38A-44BB-B012-B9FDDFC84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0.25703</cdr:x>
      <cdr:y>0.48933</cdr:y>
    </cdr:from>
    <cdr:to>
      <cdr:x>0.45685</cdr:x>
      <cdr:y>0.60868</cdr:y>
    </cdr:to>
    <cdr:sp macro="" textlink="">
      <cdr:nvSpPr>
        <cdr:cNvPr id="2" name="TextBox 5">
          <a:extLst xmlns:a="http://schemas.openxmlformats.org/drawingml/2006/main">
            <a:ext uri="{FF2B5EF4-FFF2-40B4-BE49-F238E27FC236}">
              <a16:creationId xmlns:a16="http://schemas.microsoft.com/office/drawing/2014/main" id="{47F62A98-B15E-4340-B9C2-99BFE2CCB3FB}"/>
            </a:ext>
          </a:extLst>
        </cdr:cNvPr>
        <cdr:cNvSpPr txBox="1"/>
      </cdr:nvSpPr>
      <cdr:spPr>
        <a:xfrm xmlns:a="http://schemas.openxmlformats.org/drawingml/2006/main">
          <a:off x="851974" y="953477"/>
          <a:ext cx="662354" cy="23255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499110</xdr:colOff>
      <xdr:row>9</xdr:row>
      <xdr:rowOff>45720</xdr:rowOff>
    </xdr:from>
    <xdr:to>
      <xdr:col>17</xdr:col>
      <xdr:colOff>196215</xdr:colOff>
      <xdr:row>27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241B2-30DD-46D4-B3F7-FC0A20D53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535305</xdr:colOff>
      <xdr:row>8</xdr:row>
      <xdr:rowOff>38100</xdr:rowOff>
    </xdr:from>
    <xdr:to>
      <xdr:col>11</xdr:col>
      <xdr:colOff>495300</xdr:colOff>
      <xdr:row>9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752D0B2-18D0-4DEB-AF70-F830EDCAEF6E}"/>
            </a:ext>
          </a:extLst>
        </xdr:cNvPr>
        <xdr:cNvSpPr/>
      </xdr:nvSpPr>
      <xdr:spPr>
        <a:xfrm>
          <a:off x="6296025" y="1310640"/>
          <a:ext cx="1179195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1045845</xdr:colOff>
      <xdr:row>9</xdr:row>
      <xdr:rowOff>4445</xdr:rowOff>
    </xdr:from>
    <xdr:to>
      <xdr:col>8</xdr:col>
      <xdr:colOff>601345</xdr:colOff>
      <xdr:row>27</xdr:row>
      <xdr:rowOff>4445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5E2615-D7EF-43D2-8915-14BC1067C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418474</xdr:colOff>
      <xdr:row>11</xdr:row>
      <xdr:rowOff>14990</xdr:rowOff>
    </xdr:from>
    <xdr:to>
      <xdr:col>8</xdr:col>
      <xdr:colOff>262326</xdr:colOff>
      <xdr:row>27</xdr:row>
      <xdr:rowOff>56213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DB7E005-3C25-DA22-6247-DB789B77EE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5884" y="1651416"/>
              <a:ext cx="5871147" cy="23397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95</v>
      </c>
    </row>
    <row r="2" spans="2:4" ht="12" x14ac:dyDescent="0.25">
      <c r="B2" s="5" t="s">
        <v>55</v>
      </c>
    </row>
    <row r="4" spans="2:4" ht="12.6" thickBot="1" x14ac:dyDescent="0.3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ht="12" x14ac:dyDescent="0.25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ht="12" x14ac:dyDescent="0.25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ht="12" x14ac:dyDescent="0.25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ColWidth="9.109375" defaultRowHeight="14.4" x14ac:dyDescent="0.3"/>
  <cols>
    <col min="1" max="1" width="2" style="2" customWidth="1"/>
    <col min="2" max="2" width="17.33203125" style="1" bestFit="1" customWidth="1"/>
    <col min="3" max="3" width="27.44140625" style="2" bestFit="1" customWidth="1"/>
    <col min="4" max="4" width="29.5546875" style="2" customWidth="1"/>
    <col min="5" max="5" width="28" style="2" customWidth="1"/>
    <col min="6" max="6" width="11.44140625" style="2" customWidth="1"/>
    <col min="7" max="7" width="16.109375" style="2" bestFit="1" customWidth="1"/>
    <col min="8" max="8" width="8.88671875" style="2"/>
    <col min="9" max="16384" width="9.109375" style="2"/>
  </cols>
  <sheetData>
    <row r="1" spans="2:9" ht="15.6" x14ac:dyDescent="0.3">
      <c r="B1" s="2"/>
      <c r="C1" s="3" t="s">
        <v>254</v>
      </c>
      <c r="I1"/>
    </row>
    <row r="2" spans="2:9" x14ac:dyDescent="0.3">
      <c r="B2" s="2"/>
      <c r="H2" s="1"/>
      <c r="I2" s="1"/>
    </row>
    <row r="3" spans="2:9" x14ac:dyDescent="0.3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0">
        <v>-14500341</v>
      </c>
      <c r="G5" s="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0">
        <v>-4794856.1919999998</v>
      </c>
      <c r="G6" s="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0">
        <v>-154890.4</v>
      </c>
      <c r="G7" s="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0">
        <v>-1180894.0520000001</v>
      </c>
      <c r="G8" s="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0">
        <v>-793079.51199999999</v>
      </c>
      <c r="G9" s="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0">
        <v>4428911.7640000004</v>
      </c>
      <c r="G11" s="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0">
        <v>16977.628000000001</v>
      </c>
      <c r="G12" s="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0">
        <v>2245437.54</v>
      </c>
      <c r="G13" s="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0">
        <v>16605.634000000002</v>
      </c>
      <c r="G14" s="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0">
        <v>4683394.0460000001</v>
      </c>
      <c r="G15" s="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0">
        <v>239379.61800000002</v>
      </c>
      <c r="G17" s="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0">
        <v>-2156147.4</v>
      </c>
      <c r="G21" s="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0">
        <v>-291428.55199999997</v>
      </c>
      <c r="G22" s="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0">
        <v>0</v>
      </c>
      <c r="G23" s="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0">
        <v>-33736.5</v>
      </c>
      <c r="G24" s="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0">
        <v>0</v>
      </c>
      <c r="G25" s="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0">
        <v>0</v>
      </c>
      <c r="G26" s="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0">
        <v>0</v>
      </c>
      <c r="G27" s="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0">
        <v>-199600.4</v>
      </c>
      <c r="G28" s="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0">
        <v>-539141.4</v>
      </c>
      <c r="G29" s="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0">
        <v>-57.221999999999994</v>
      </c>
      <c r="G30" s="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0">
        <v>22314.879999999997</v>
      </c>
      <c r="G31" s="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0">
        <v>204000</v>
      </c>
      <c r="G32" s="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0">
        <v>138.41399999999999</v>
      </c>
      <c r="G33" s="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0">
        <v>1127445.872</v>
      </c>
      <c r="G34" s="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0">
        <v>133722</v>
      </c>
      <c r="G35" s="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0">
        <v>328061.886</v>
      </c>
      <c r="G36" s="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0">
        <v>2081304.3219999997</v>
      </c>
      <c r="G37" s="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0">
        <v>33410.031999999999</v>
      </c>
      <c r="G38" s="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0">
        <v>213090.85199999998</v>
      </c>
      <c r="G39" s="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0">
        <v>1813525.004</v>
      </c>
      <c r="G40" s="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0">
        <v>5552.2</v>
      </c>
      <c r="G41" s="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0">
        <v>43868.975999999995</v>
      </c>
      <c r="G42" s="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0">
        <v>20400</v>
      </c>
      <c r="G44" s="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0">
        <v>0</v>
      </c>
      <c r="G45" s="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0">
        <v>563918.152</v>
      </c>
      <c r="G46" s="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0">
        <v>0</v>
      </c>
      <c r="G47" s="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0">
        <v>0</v>
      </c>
      <c r="G48" s="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0">
        <v>0</v>
      </c>
      <c r="G49" s="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0">
        <v>0</v>
      </c>
      <c r="G50" s="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0">
        <v>0</v>
      </c>
      <c r="G51" s="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0">
        <v>0</v>
      </c>
      <c r="G52" s="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0">
        <v>-35810.228000000003</v>
      </c>
      <c r="G53" s="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0">
        <v>-51927.417999999998</v>
      </c>
      <c r="G54" s="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0">
        <v>2930430.0120000001</v>
      </c>
      <c r="G57" s="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">
      <c r="B61" s="2" t="s">
        <v>156</v>
      </c>
      <c r="C61" s="19" t="s">
        <v>61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4" x14ac:dyDescent="0.2">
      <c r="B62" s="2" t="s">
        <v>100</v>
      </c>
    </row>
    <row r="1048568" spans="2:9" x14ac:dyDescent="0.3">
      <c r="B1048568" s="2"/>
      <c r="I1048568" s="1"/>
    </row>
    <row r="1048569" spans="2:9" x14ac:dyDescent="0.3">
      <c r="B1048569" s="2"/>
      <c r="I1048569" s="1"/>
    </row>
    <row r="1048570" spans="2:9" x14ac:dyDescent="0.3">
      <c r="B1048570" s="2"/>
      <c r="I1048570" s="1"/>
    </row>
    <row r="1048571" spans="2:9" x14ac:dyDescent="0.3">
      <c r="B1048571" s="2"/>
      <c r="I1048571" s="1"/>
    </row>
    <row r="1048572" spans="2:9" x14ac:dyDescent="0.3">
      <c r="B1048572" s="2"/>
      <c r="I1048572" s="1"/>
    </row>
    <row r="1048573" spans="2:9" x14ac:dyDescent="0.3">
      <c r="B1048573" s="2"/>
      <c r="I1048573" s="1"/>
    </row>
    <row r="1048574" spans="2:9" x14ac:dyDescent="0.3">
      <c r="B1048574" s="2"/>
      <c r="I1048574" s="1"/>
    </row>
    <row r="1048575" spans="2:9" x14ac:dyDescent="0.3">
      <c r="B1048575" s="2"/>
      <c r="I1048575" s="1"/>
    </row>
    <row r="1048576" spans="2:9" x14ac:dyDescent="0.3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7.33203125" style="2" customWidth="1"/>
    <col min="5" max="5" width="21.109375" style="2" bestFit="1" customWidth="1"/>
    <col min="6" max="6" width="17.109375" style="2" customWidth="1"/>
    <col min="7" max="7" width="15.5546875" style="2" customWidth="1"/>
    <col min="8" max="8" width="17.33203125" style="2" bestFit="1" customWidth="1"/>
    <col min="9" max="16384" width="9.109375" style="2"/>
  </cols>
  <sheetData>
    <row r="1" spans="2:7" ht="15.6" x14ac:dyDescent="0.3">
      <c r="B1" s="3" t="s">
        <v>253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0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0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0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0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0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0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0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0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0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0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0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0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0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0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0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0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0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0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0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0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0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0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0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0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0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0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0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0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0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0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0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0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0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0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0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0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0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0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0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0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0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0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0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0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0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0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0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0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0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0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0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0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0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0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0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0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0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0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0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0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0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0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0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0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0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0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0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">
      <c r="B86" s="18" t="s">
        <v>189</v>
      </c>
      <c r="C86" s="19" t="s">
        <v>61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0.5546875" style="2" customWidth="1"/>
    <col min="5" max="5" width="21.109375" style="2" bestFit="1" customWidth="1"/>
    <col min="6" max="6" width="19.33203125" style="2" customWidth="1"/>
    <col min="7" max="7" width="13.109375" style="2" bestFit="1" customWidth="1"/>
    <col min="8" max="8" width="12" style="2" bestFit="1" customWidth="1"/>
    <col min="9" max="9" width="17.33203125" style="2" bestFit="1" customWidth="1"/>
    <col min="10" max="16384" width="9.109375" style="2"/>
  </cols>
  <sheetData>
    <row r="1" spans="2:7" ht="15.6" x14ac:dyDescent="0.3">
      <c r="B1" s="3" t="s">
        <v>252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3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7">
        <v>-14431341</v>
      </c>
      <c r="G6" s="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0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0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0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0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0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0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0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0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0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0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0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0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0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0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0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0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0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0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0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0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0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0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0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0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0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0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0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0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0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0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0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0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0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0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0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0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0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0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0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0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0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0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0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0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0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0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0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0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0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0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0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0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0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0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0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0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0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0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0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">
      <c r="B78" s="18" t="s">
        <v>189</v>
      </c>
      <c r="C78" s="19" t="s">
        <v>61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ColWidth="9.109375" defaultRowHeight="11.4" x14ac:dyDescent="0.2"/>
  <cols>
    <col min="1" max="1" width="2" style="2" customWidth="1"/>
    <col min="2" max="2" width="17.33203125" style="2" bestFit="1" customWidth="1"/>
    <col min="3" max="3" width="23.44140625" style="2" customWidth="1"/>
    <col min="4" max="4" width="16" style="2" customWidth="1"/>
    <col min="5" max="5" width="22.88671875" style="2" customWidth="1"/>
    <col min="6" max="6" width="12.109375" style="2" customWidth="1"/>
    <col min="7" max="7" width="10.88671875" style="2" customWidth="1"/>
    <col min="8" max="8" width="10.6640625" style="2" customWidth="1"/>
    <col min="9" max="9" width="2" style="2" customWidth="1"/>
    <col min="10" max="10" width="22.88671875" style="2" bestFit="1" customWidth="1"/>
    <col min="11" max="11" width="9.109375" style="2"/>
    <col min="12" max="12" width="17.33203125" style="2" bestFit="1" customWidth="1"/>
    <col min="13" max="16384" width="9.109375" style="2"/>
  </cols>
  <sheetData>
    <row r="1" spans="2:11" ht="15.6" x14ac:dyDescent="0.3">
      <c r="B1" s="3" t="s">
        <v>91</v>
      </c>
    </row>
    <row r="3" spans="2:11" ht="12.6" thickBot="1" x14ac:dyDescent="0.3">
      <c r="B3" s="14" t="s">
        <v>99</v>
      </c>
      <c r="C3" s="24" t="s">
        <v>204</v>
      </c>
      <c r="D3" s="24" t="s">
        <v>30</v>
      </c>
      <c r="E3" s="24" t="s">
        <v>205</v>
      </c>
      <c r="F3" s="15" t="s">
        <v>247</v>
      </c>
      <c r="G3" s="15" t="s">
        <v>248</v>
      </c>
      <c r="H3" s="15" t="s">
        <v>249</v>
      </c>
      <c r="J3" s="15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6">
        <f>-SUMIF('1.1 FY2016'!$B:$B,'2.1 Database'!B4,'1.1 FY2016'!$F:$F)</f>
        <v>14500341</v>
      </c>
      <c r="G4" s="16">
        <f>-SUMIF('1.2 FY2017'!$B:$B,'2.1 Database'!B4,'1.2 FY2017'!$F:$F)</f>
        <v>15792898.75</v>
      </c>
      <c r="H4" s="16">
        <f>-SUMIF('1.3 FY2018'!$B:$B,'2.1 Database'!B4,'1.3 FY2018'!$F:$F)</f>
        <v>14431341</v>
      </c>
      <c r="J4" s="31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6">
        <f>-SUMIF('1.1 FY2016'!$B:$B,'2.1 Database'!B5,'1.1 FY2016'!$F:$F)</f>
        <v>4794856.1919999998</v>
      </c>
      <c r="G5" s="16">
        <f>-SUMIF('1.2 FY2017'!$B:$B,'2.1 Database'!B5,'1.2 FY2017'!$F:$F)</f>
        <v>6960217.6449999996</v>
      </c>
      <c r="H5" s="16">
        <f>-SUMIF('1.3 FY2018'!$B:$B,'2.1 Database'!B5,'1.3 FY2018'!$F:$F)</f>
        <v>6373617.5140000004</v>
      </c>
      <c r="J5" s="31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6">
        <f>-SUMIF('1.1 FY2016'!$B:$B,'2.1 Database'!B6,'1.1 FY2016'!$F:$F)</f>
        <v>154890.4</v>
      </c>
      <c r="G6" s="16">
        <f>-SUMIF('1.2 FY2017'!$B:$B,'2.1 Database'!B6,'1.2 FY2017'!$F:$F)</f>
        <v>0</v>
      </c>
      <c r="H6" s="16">
        <f>-SUMIF('1.3 FY2018'!$B:$B,'2.1 Database'!B6,'1.3 FY2018'!$F:$F)</f>
        <v>0</v>
      </c>
      <c r="J6" s="31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6">
        <f>-SUMIF('1.1 FY2016'!$B:$B,'2.1 Database'!B7,'1.1 FY2016'!$F:$F)</f>
        <v>1180894.0520000001</v>
      </c>
      <c r="G7" s="16">
        <f>-SUMIF('1.2 FY2017'!$B:$B,'2.1 Database'!B7,'1.2 FY2017'!$F:$F)</f>
        <v>89234.880000000005</v>
      </c>
      <c r="H7" s="16">
        <f>-SUMIF('1.3 FY2018'!$B:$B,'2.1 Database'!B7,'1.3 FY2018'!$F:$F)</f>
        <v>0</v>
      </c>
      <c r="J7" s="31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6">
        <f>-SUMIF('1.1 FY2016'!$B:$B,'2.1 Database'!B8,'1.1 FY2016'!$F:$F)</f>
        <v>793079.51199999999</v>
      </c>
      <c r="G8" s="16">
        <f>-SUMIF('1.2 FY2017'!$B:$B,'2.1 Database'!B8,'1.2 FY2017'!$F:$F)</f>
        <v>26173</v>
      </c>
      <c r="H8" s="16">
        <f>-SUMIF('1.3 FY2018'!$B:$B,'2.1 Database'!B8,'1.3 FY2018'!$F:$F)</f>
        <v>0</v>
      </c>
      <c r="J8" s="31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6">
        <f>-SUMIF('1.1 FY2016'!$B:$B,'2.1 Database'!B9,'1.1 FY2016'!$F:$F)</f>
        <v>2277197.6</v>
      </c>
      <c r="G9" s="16">
        <f>-SUMIF('1.2 FY2017'!$B:$B,'2.1 Database'!B9,'1.2 FY2017'!$F:$F)</f>
        <v>209401.92</v>
      </c>
      <c r="H9" s="16">
        <f>-SUMIF('1.3 FY2018'!$B:$B,'2.1 Database'!B9,'1.3 FY2018'!$F:$F)</f>
        <v>0</v>
      </c>
      <c r="J9" s="31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6">
        <f>-SUMIF('1.1 FY2016'!$B:$B,'2.1 Database'!B10,'1.1 FY2016'!$F:$F)</f>
        <v>-4428911.7640000004</v>
      </c>
      <c r="G10" s="16">
        <f>-SUMIF('1.2 FY2017'!$B:$B,'2.1 Database'!B10,'1.2 FY2017'!$F:$F)</f>
        <v>-5463188.8250000002</v>
      </c>
      <c r="H10" s="16">
        <f>-SUMIF('1.3 FY2018'!$B:$B,'2.1 Database'!B10,'1.3 FY2018'!$F:$F)</f>
        <v>-5674152.0669999998</v>
      </c>
      <c r="J10" s="31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6">
        <f>-SUMIF('1.1 FY2016'!$B:$B,'2.1 Database'!B11,'1.1 FY2016'!$F:$F)</f>
        <v>-16977.628000000001</v>
      </c>
      <c r="G11" s="16">
        <f>-SUMIF('1.2 FY2017'!$B:$B,'2.1 Database'!B11,'1.2 FY2017'!$F:$F)</f>
        <v>-343675</v>
      </c>
      <c r="H11" s="16">
        <f>-SUMIF('1.3 FY2018'!$B:$B,'2.1 Database'!B11,'1.3 FY2018'!$F:$F)</f>
        <v>-350370.99399999995</v>
      </c>
      <c r="J11" s="31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6">
        <f>-SUMIF('1.1 FY2016'!$B:$B,'2.1 Database'!B12,'1.1 FY2016'!$F:$F)</f>
        <v>-2245437.54</v>
      </c>
      <c r="G12" s="16">
        <f>-SUMIF('1.2 FY2017'!$B:$B,'2.1 Database'!B12,'1.2 FY2017'!$F:$F)</f>
        <v>-1980162.23</v>
      </c>
      <c r="H12" s="16">
        <f>-SUMIF('1.3 FY2018'!$B:$B,'2.1 Database'!B12,'1.3 FY2018'!$F:$F)</f>
        <v>-3116017.1540000001</v>
      </c>
      <c r="J12" s="31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6">
        <f>-SUMIF('1.1 FY2016'!$B:$B,'2.1 Database'!B13,'1.1 FY2016'!$F:$F)</f>
        <v>-16605.634000000002</v>
      </c>
      <c r="G13" s="16">
        <f>-SUMIF('1.2 FY2017'!$B:$B,'2.1 Database'!B13,'1.2 FY2017'!$F:$F)</f>
        <v>-27148.625</v>
      </c>
      <c r="H13" s="16">
        <f>-SUMIF('1.3 FY2018'!$B:$B,'2.1 Database'!B13,'1.3 FY2018'!$F:$F)</f>
        <v>-9783.7069999999985</v>
      </c>
      <c r="J13" s="31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6">
        <f>-SUMIF('1.1 FY2016'!$B:$B,'2.1 Database'!B14,'1.1 FY2016'!$F:$F)</f>
        <v>-4683394.0460000001</v>
      </c>
      <c r="G14" s="16">
        <f>-SUMIF('1.2 FY2017'!$B:$B,'2.1 Database'!B14,'1.2 FY2017'!$F:$F)</f>
        <v>-5507141.0549999997</v>
      </c>
      <c r="H14" s="16">
        <f>-SUMIF('1.3 FY2018'!$B:$B,'2.1 Database'!B14,'1.3 FY2018'!$F:$F)</f>
        <v>-3982699.5329999998</v>
      </c>
      <c r="J14" s="31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6">
        <f>-SUMIF('1.1 FY2016'!$B:$B,'2.1 Database'!B15,'1.1 FY2016'!$F:$F)</f>
        <v>-1143051.5760000001</v>
      </c>
      <c r="G15" s="16">
        <f>-SUMIF('1.2 FY2017'!$B:$B,'2.1 Database'!B15,'1.2 FY2017'!$F:$F)</f>
        <v>-2057298.04</v>
      </c>
      <c r="H15" s="16">
        <f>-SUMIF('1.3 FY2018'!$B:$B,'2.1 Database'!B15,'1.3 FY2018'!$F:$F)</f>
        <v>-1709688.6429999997</v>
      </c>
      <c r="J15" s="31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6">
        <f>-SUMIF('1.1 FY2016'!$B:$B,'2.1 Database'!B16,'1.1 FY2016'!$F:$F)</f>
        <v>-239379.61800000002</v>
      </c>
      <c r="G16" s="16">
        <f>-SUMIF('1.2 FY2017'!$B:$B,'2.1 Database'!B16,'1.2 FY2017'!$F:$F)</f>
        <v>0</v>
      </c>
      <c r="H16" s="16">
        <f>-SUMIF('1.3 FY2018'!$B:$B,'2.1 Database'!B16,'1.3 FY2018'!$F:$F)</f>
        <v>0</v>
      </c>
      <c r="J16" s="31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6">
        <f>-SUMIF('1.1 FY2016'!$B:$B,'2.1 Database'!B17,'1.1 FY2016'!$F:$F)</f>
        <v>-104913.8</v>
      </c>
      <c r="G17" s="16">
        <f>-SUMIF('1.2 FY2017'!$B:$B,'2.1 Database'!B17,'1.2 FY2017'!$F:$F)</f>
        <v>-500500</v>
      </c>
      <c r="H17" s="16">
        <f>-SUMIF('1.3 FY2018'!$B:$B,'2.1 Database'!B17,'1.3 FY2018'!$F:$F)</f>
        <v>-143500</v>
      </c>
      <c r="J17" s="31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6">
        <f>-SUMIF('1.1 FY2016'!$B:$B,'2.1 Database'!B18,'1.1 FY2016'!$F:$F)</f>
        <v>-2003262.2180000001</v>
      </c>
      <c r="G18" s="16">
        <f>-SUMIF('1.2 FY2017'!$B:$B,'2.1 Database'!B18,'1.2 FY2017'!$F:$F)</f>
        <v>-1897676.87</v>
      </c>
      <c r="H18" s="16">
        <f>-SUMIF('1.3 FY2018'!$B:$B,'2.1 Database'!B18,'1.3 FY2018'!$F:$F)</f>
        <v>-1875768.159</v>
      </c>
      <c r="J18" s="31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6">
        <f>-SUMIF('1.1 FY2016'!$B:$B,'2.1 Database'!B19,'1.1 FY2016'!$F:$F)</f>
        <v>-41981.296000000002</v>
      </c>
      <c r="G19" s="16">
        <f>-SUMIF('1.2 FY2017'!$B:$B,'2.1 Database'!B19,'1.2 FY2017'!$F:$F)</f>
        <v>-146328.94499999998</v>
      </c>
      <c r="H19" s="16">
        <f>-SUMIF('1.3 FY2018'!$B:$B,'2.1 Database'!B19,'1.3 FY2018'!$F:$F)</f>
        <v>-12593.355</v>
      </c>
      <c r="J19" s="31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6">
        <f>-SUMIF('1.1 FY2016'!$B:$B,'2.1 Database'!B20,'1.1 FY2016'!$F:$F)</f>
        <v>2156147.4</v>
      </c>
      <c r="G20" s="16">
        <f>-SUMIF('1.2 FY2017'!$B:$B,'2.1 Database'!B20,'1.2 FY2017'!$F:$F)</f>
        <v>1643711.145</v>
      </c>
      <c r="H20" s="16">
        <f>-SUMIF('1.3 FY2018'!$B:$B,'2.1 Database'!B20,'1.3 FY2018'!$F:$F)</f>
        <v>1418521.358</v>
      </c>
      <c r="J20" s="31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6">
        <f>-SUMIF('1.1 FY2016'!$B:$B,'2.1 Database'!B21,'1.1 FY2016'!$F:$F)</f>
        <v>291428.55199999997</v>
      </c>
      <c r="G21" s="16">
        <f>-SUMIF('1.2 FY2017'!$B:$B,'2.1 Database'!B21,'1.2 FY2017'!$F:$F)</f>
        <v>0</v>
      </c>
      <c r="H21" s="16">
        <f>-SUMIF('1.3 FY2018'!$B:$B,'2.1 Database'!B21,'1.3 FY2018'!$F:$F)</f>
        <v>0</v>
      </c>
      <c r="J21" s="31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6">
        <f>-SUMIF('1.1 FY2016'!$B:$B,'2.1 Database'!B22,'1.1 FY2016'!$F:$F)</f>
        <v>0</v>
      </c>
      <c r="G22" s="16">
        <f>-SUMIF('1.2 FY2017'!$B:$B,'2.1 Database'!B22,'1.2 FY2017'!$F:$F)</f>
        <v>0</v>
      </c>
      <c r="H22" s="16">
        <f>-SUMIF('1.3 FY2018'!$B:$B,'2.1 Database'!B22,'1.3 FY2018'!$F:$F)</f>
        <v>0</v>
      </c>
      <c r="J22" s="31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6">
        <f>-SUMIF('1.1 FY2016'!$B:$B,'2.1 Database'!B23,'1.1 FY2016'!$F:$F)</f>
        <v>33736.5</v>
      </c>
      <c r="G23" s="16">
        <f>-SUMIF('1.2 FY2017'!$B:$B,'2.1 Database'!B23,'1.2 FY2017'!$F:$F)</f>
        <v>0</v>
      </c>
      <c r="H23" s="16">
        <f>-SUMIF('1.3 FY2018'!$B:$B,'2.1 Database'!B23,'1.3 FY2018'!$F:$F)</f>
        <v>0</v>
      </c>
      <c r="J23" s="31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6">
        <f>-SUMIF('1.1 FY2016'!$B:$B,'2.1 Database'!B24,'1.1 FY2016'!$F:$F)</f>
        <v>0</v>
      </c>
      <c r="G24" s="16">
        <f>-SUMIF('1.2 FY2017'!$B:$B,'2.1 Database'!B24,'1.2 FY2017'!$F:$F)</f>
        <v>0</v>
      </c>
      <c r="H24" s="16">
        <f>-SUMIF('1.3 FY2018'!$B:$B,'2.1 Database'!B24,'1.3 FY2018'!$F:$F)</f>
        <v>0</v>
      </c>
      <c r="J24" s="31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6">
        <f>-SUMIF('1.1 FY2016'!$B:$B,'2.1 Database'!B25,'1.1 FY2016'!$F:$F)</f>
        <v>0</v>
      </c>
      <c r="G25" s="16">
        <f>-SUMIF('1.2 FY2017'!$B:$B,'2.1 Database'!B25,'1.2 FY2017'!$F:$F)</f>
        <v>0</v>
      </c>
      <c r="H25" s="16">
        <f>-SUMIF('1.3 FY2018'!$B:$B,'2.1 Database'!B25,'1.3 FY2018'!$F:$F)</f>
        <v>0</v>
      </c>
      <c r="J25" s="31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6">
        <f>-SUMIF('1.1 FY2016'!$B:$B,'2.1 Database'!B26,'1.1 FY2016'!$F:$F)</f>
        <v>0</v>
      </c>
      <c r="G26" s="16">
        <f>-SUMIF('1.2 FY2017'!$B:$B,'2.1 Database'!B26,'1.2 FY2017'!$F:$F)</f>
        <v>0</v>
      </c>
      <c r="H26" s="16">
        <f>-SUMIF('1.3 FY2018'!$B:$B,'2.1 Database'!B26,'1.3 FY2018'!$F:$F)</f>
        <v>0</v>
      </c>
      <c r="J26" s="31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6">
        <f>-SUMIF('1.1 FY2016'!$B:$B,'2.1 Database'!B27,'1.1 FY2016'!$F:$F)</f>
        <v>199600.4</v>
      </c>
      <c r="G27" s="16">
        <f>-SUMIF('1.2 FY2017'!$B:$B,'2.1 Database'!B27,'1.2 FY2017'!$F:$F)</f>
        <v>10461.36</v>
      </c>
      <c r="H27" s="16">
        <f>-SUMIF('1.3 FY2018'!$B:$B,'2.1 Database'!B27,'1.3 FY2018'!$F:$F)</f>
        <v>0</v>
      </c>
      <c r="J27" s="31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6">
        <f>-SUMIF('1.1 FY2016'!$B:$B,'2.1 Database'!B28,'1.1 FY2016'!$F:$F)</f>
        <v>539141.4</v>
      </c>
      <c r="G28" s="16">
        <f>-SUMIF('1.2 FY2017'!$B:$B,'2.1 Database'!B28,'1.2 FY2017'!$F:$F)</f>
        <v>6785.94</v>
      </c>
      <c r="H28" s="16">
        <f>-SUMIF('1.3 FY2018'!$B:$B,'2.1 Database'!B28,'1.3 FY2018'!$F:$F)</f>
        <v>902857.84299999999</v>
      </c>
      <c r="J28" s="38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6">
        <f>-SUMIF('1.1 FY2016'!$B:$B,'2.1 Database'!B29,'1.1 FY2016'!$F:$F)</f>
        <v>57.221999999999994</v>
      </c>
      <c r="G29" s="16">
        <f>-SUMIF('1.2 FY2017'!$B:$B,'2.1 Database'!B29,'1.2 FY2017'!$F:$F)</f>
        <v>-9793.84</v>
      </c>
      <c r="H29" s="16">
        <f>-SUMIF('1.3 FY2018'!$B:$B,'2.1 Database'!B29,'1.3 FY2018'!$F:$F)</f>
        <v>15872.001999999999</v>
      </c>
      <c r="J29" s="31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6">
        <f>-SUMIF('1.1 FY2016'!$B:$B,'2.1 Database'!B30,'1.1 FY2016'!$F:$F)</f>
        <v>-22314.879999999997</v>
      </c>
      <c r="G30" s="16">
        <f>-SUMIF('1.2 FY2017'!$B:$B,'2.1 Database'!B30,'1.2 FY2017'!$F:$F)</f>
        <v>-65947.7</v>
      </c>
      <c r="H30" s="16">
        <f>-SUMIF('1.3 FY2018'!$B:$B,'2.1 Database'!B30,'1.3 FY2018'!$F:$F)</f>
        <v>-57.317999999999998</v>
      </c>
      <c r="J30" s="31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6">
        <f>-SUMIF('1.1 FY2016'!$B:$B,'2.1 Database'!B31,'1.1 FY2016'!$F:$F)</f>
        <v>-204000</v>
      </c>
      <c r="G31" s="16">
        <f>-SUMIF('1.2 FY2017'!$B:$B,'2.1 Database'!B31,'1.2 FY2017'!$F:$F)</f>
        <v>0</v>
      </c>
      <c r="H31" s="16">
        <f>-SUMIF('1.3 FY2018'!$B:$B,'2.1 Database'!B31,'1.3 FY2018'!$F:$F)</f>
        <v>0</v>
      </c>
      <c r="J31" s="31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6">
        <f>-SUMIF('1.1 FY2016'!$B:$B,'2.1 Database'!B32,'1.1 FY2016'!$F:$F)</f>
        <v>-138.41399999999999</v>
      </c>
      <c r="G32" s="16">
        <f>-SUMIF('1.2 FY2017'!$B:$B,'2.1 Database'!B32,'1.2 FY2017'!$F:$F)</f>
        <v>-5138.91</v>
      </c>
      <c r="H32" s="16">
        <f>-SUMIF('1.3 FY2018'!$B:$B,'2.1 Database'!B32,'1.3 FY2018'!$F:$F)</f>
        <v>-19198.66</v>
      </c>
      <c r="J32" s="31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6">
        <f>-SUMIF('1.1 FY2016'!$B:$B,'2.1 Database'!B33,'1.1 FY2016'!$F:$F)</f>
        <v>-1127445.872</v>
      </c>
      <c r="G33" s="16">
        <f>-SUMIF('1.2 FY2017'!$B:$B,'2.1 Database'!B33,'1.2 FY2017'!$F:$F)</f>
        <v>-1055381.4750000001</v>
      </c>
      <c r="H33" s="16">
        <f>-SUMIF('1.3 FY2018'!$B:$B,'2.1 Database'!B33,'1.3 FY2018'!$F:$F)</f>
        <v>172933.44899999999</v>
      </c>
      <c r="J33" s="31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6">
        <f>-SUMIF('1.1 FY2016'!$B:$B,'2.1 Database'!B34,'1.1 FY2016'!$F:$F)</f>
        <v>-133722</v>
      </c>
      <c r="G34" s="16">
        <f>-SUMIF('1.2 FY2017'!$B:$B,'2.1 Database'!B34,'1.2 FY2017'!$F:$F)</f>
        <v>0</v>
      </c>
      <c r="H34" s="16">
        <f>-SUMIF('1.3 FY2018'!$B:$B,'2.1 Database'!B34,'1.3 FY2018'!$F:$F)</f>
        <v>0</v>
      </c>
      <c r="J34" s="31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6">
        <f>-SUMIF('1.1 FY2016'!$B:$B,'2.1 Database'!B35,'1.1 FY2016'!$F:$F)</f>
        <v>-328061.886</v>
      </c>
      <c r="G35" s="16">
        <f>-SUMIF('1.2 FY2017'!$B:$B,'2.1 Database'!B35,'1.2 FY2017'!$F:$F)</f>
        <v>-430845.34499999997</v>
      </c>
      <c r="H35" s="16">
        <f>-SUMIF('1.3 FY2018'!$B:$B,'2.1 Database'!B35,'1.3 FY2018'!$F:$F)</f>
        <v>0</v>
      </c>
      <c r="J35" s="31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6">
        <f>-SUMIF('1.1 FY2016'!$B:$B,'2.1 Database'!B36,'1.1 FY2016'!$F:$F)</f>
        <v>-2081304.3219999997</v>
      </c>
      <c r="G36" s="16">
        <f>-SUMIF('1.2 FY2017'!$B:$B,'2.1 Database'!B36,'1.2 FY2017'!$F:$F)</f>
        <v>-1130021</v>
      </c>
      <c r="H36" s="16">
        <f>-SUMIF('1.3 FY2018'!$B:$B,'2.1 Database'!B36,'1.3 FY2018'!$F:$F)</f>
        <v>-1481408.47</v>
      </c>
      <c r="J36" s="31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6">
        <f>-SUMIF('1.1 FY2016'!$B:$B,'2.1 Database'!B37,'1.1 FY2016'!$F:$F)</f>
        <v>-33410.031999999999</v>
      </c>
      <c r="G37" s="16">
        <f>-SUMIF('1.2 FY2017'!$B:$B,'2.1 Database'!B37,'1.2 FY2017'!$F:$F)</f>
        <v>-7293.5450000000001</v>
      </c>
      <c r="H37" s="16">
        <f>-SUMIF('1.3 FY2018'!$B:$B,'2.1 Database'!B37,'1.3 FY2018'!$F:$F)</f>
        <v>-40048.799999999996</v>
      </c>
      <c r="J37" s="31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6">
        <f>-SUMIF('1.1 FY2016'!$B:$B,'2.1 Database'!B38,'1.1 FY2016'!$F:$F)</f>
        <v>-213090.85199999998</v>
      </c>
      <c r="G38" s="16">
        <f>-SUMIF('1.2 FY2017'!$B:$B,'2.1 Database'!B38,'1.2 FY2017'!$F:$F)</f>
        <v>-48468.665000000001</v>
      </c>
      <c r="H38" s="16">
        <f>-SUMIF('1.3 FY2018'!$B:$B,'2.1 Database'!B38,'1.3 FY2018'!$F:$F)</f>
        <v>-64039.82699999999</v>
      </c>
      <c r="J38" s="31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6">
        <f>-SUMIF('1.1 FY2016'!$B:$B,'2.1 Database'!B39,'1.1 FY2016'!$F:$F)</f>
        <v>-1813525.004</v>
      </c>
      <c r="G39" s="16">
        <f>-SUMIF('1.2 FY2017'!$B:$B,'2.1 Database'!B39,'1.2 FY2017'!$F:$F)</f>
        <v>-2393259.19</v>
      </c>
      <c r="H39" s="16">
        <f>-SUMIF('1.3 FY2018'!$B:$B,'2.1 Database'!B39,'1.3 FY2018'!$F:$F)</f>
        <v>-2514431.8869999996</v>
      </c>
      <c r="J39" s="31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6">
        <f>-SUMIF('1.1 FY2016'!$B:$B,'2.1 Database'!B40,'1.1 FY2016'!$F:$F)</f>
        <v>-5552.2</v>
      </c>
      <c r="G40" s="16">
        <f>-SUMIF('1.2 FY2017'!$B:$B,'2.1 Database'!B40,'1.2 FY2017'!$F:$F)</f>
        <v>-23069.654999999999</v>
      </c>
      <c r="H40" s="16">
        <f>-SUMIF('1.3 FY2018'!$B:$B,'2.1 Database'!B40,'1.3 FY2018'!$F:$F)</f>
        <v>-4194.2999999999993</v>
      </c>
      <c r="J40" s="31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6">
        <f>-SUMIF('1.1 FY2016'!$B:$B,'2.1 Database'!B41,'1.1 FY2016'!$F:$F)</f>
        <v>-43868.975999999995</v>
      </c>
      <c r="G41" s="16">
        <f>-SUMIF('1.2 FY2017'!$B:$B,'2.1 Database'!B41,'1.2 FY2017'!$F:$F)</f>
        <v>-208366.935</v>
      </c>
      <c r="H41" s="16">
        <f>-SUMIF('1.3 FY2018'!$B:$B,'2.1 Database'!B41,'1.3 FY2018'!$F:$F)</f>
        <v>-106525.708</v>
      </c>
      <c r="J41" s="31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6">
        <f>-SUMIF('1.1 FY2016'!$B:$B,'2.1 Database'!B42,'1.1 FY2016'!$F:$F)</f>
        <v>-10934.671999999999</v>
      </c>
      <c r="G42" s="16">
        <f>-SUMIF('1.2 FY2017'!$B:$B,'2.1 Database'!B42,'1.2 FY2017'!$F:$F)</f>
        <v>-20323.309999999998</v>
      </c>
      <c r="H42" s="16">
        <f>-SUMIF('1.3 FY2018'!$B:$B,'2.1 Database'!B42,'1.3 FY2018'!$F:$F)</f>
        <v>-109811.284</v>
      </c>
      <c r="J42" s="31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6">
        <f>-SUMIF('1.1 FY2016'!$B:$B,'2.1 Database'!B43,'1.1 FY2016'!$F:$F)</f>
        <v>-20400</v>
      </c>
      <c r="G43" s="16">
        <f>-SUMIF('1.2 FY2017'!$B:$B,'2.1 Database'!B43,'1.2 FY2017'!$F:$F)</f>
        <v>-169489</v>
      </c>
      <c r="H43" s="16">
        <f>-SUMIF('1.3 FY2018'!$B:$B,'2.1 Database'!B43,'1.3 FY2018'!$F:$F)</f>
        <v>-61111.483999999997</v>
      </c>
      <c r="J43" s="31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6">
        <f>-SUMIF('1.1 FY2016'!$B:$B,'2.1 Database'!B44,'1.1 FY2016'!$F:$F)</f>
        <v>0</v>
      </c>
      <c r="G44" s="16">
        <f>-SUMIF('1.2 FY2017'!$B:$B,'2.1 Database'!B44,'1.2 FY2017'!$F:$F)</f>
        <v>0</v>
      </c>
      <c r="H44" s="16">
        <f>-SUMIF('1.3 FY2018'!$B:$B,'2.1 Database'!B44,'1.3 FY2018'!$F:$F)</f>
        <v>-1684415.2999999998</v>
      </c>
      <c r="J44" s="31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6">
        <f>-SUMIF('1.1 FY2016'!$B:$B,'2.1 Database'!B45,'1.1 FY2016'!$F:$F)</f>
        <v>-563918.152</v>
      </c>
      <c r="G45" s="16">
        <f>-SUMIF('1.2 FY2017'!$B:$B,'2.1 Database'!B45,'1.2 FY2017'!$F:$F)</f>
        <v>-638869.13</v>
      </c>
      <c r="H45" s="16">
        <f>-SUMIF('1.3 FY2018'!$B:$B,'2.1 Database'!B45,'1.3 FY2018'!$F:$F)</f>
        <v>-575626.2649999999</v>
      </c>
      <c r="J45" s="31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6">
        <f>-SUMIF('1.1 FY2016'!$B:$B,'2.1 Database'!B46,'1.1 FY2016'!$F:$F)</f>
        <v>0</v>
      </c>
      <c r="G46" s="16">
        <f>-SUMIF('1.2 FY2017'!$B:$B,'2.1 Database'!B46,'1.2 FY2017'!$F:$F)</f>
        <v>0</v>
      </c>
      <c r="H46" s="16">
        <f>-SUMIF('1.3 FY2018'!$B:$B,'2.1 Database'!B46,'1.3 FY2018'!$F:$F)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6">
        <f>-SUMIF('1.1 FY2016'!$B:$B,'2.1 Database'!B47,'1.1 FY2016'!$F:$F)</f>
        <v>0</v>
      </c>
      <c r="G47" s="16">
        <f>-SUMIF('1.2 FY2017'!$B:$B,'2.1 Database'!B47,'1.2 FY2017'!$F:$F)</f>
        <v>0</v>
      </c>
      <c r="H47" s="16">
        <f>-SUMIF('1.3 FY2018'!$B:$B,'2.1 Database'!B47,'1.3 FY2018'!$F:$F)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6">
        <f>-SUMIF('1.1 FY2016'!$B:$B,'2.1 Database'!B48,'1.1 FY2016'!$F:$F)</f>
        <v>0</v>
      </c>
      <c r="G48" s="16">
        <f>-SUMIF('1.2 FY2017'!$B:$B,'2.1 Database'!B48,'1.2 FY2017'!$F:$F)</f>
        <v>0</v>
      </c>
      <c r="H48" s="16">
        <f>-SUMIF('1.3 FY2018'!$B:$B,'2.1 Database'!B48,'1.3 FY2018'!$F:$F)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6">
        <f>-SUMIF('1.1 FY2016'!$B:$B,'2.1 Database'!B49,'1.1 FY2016'!$F:$F)</f>
        <v>0</v>
      </c>
      <c r="G49" s="16">
        <f>-SUMIF('1.2 FY2017'!$B:$B,'2.1 Database'!B49,'1.2 FY2017'!$F:$F)</f>
        <v>0</v>
      </c>
      <c r="H49" s="16">
        <f>-SUMIF('1.3 FY2018'!$B:$B,'2.1 Database'!B49,'1.3 FY2018'!$F:$F)</f>
        <v>0</v>
      </c>
      <c r="J49" s="31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6">
        <f>-SUMIF('1.1 FY2016'!$B:$B,'2.1 Database'!B50,'1.1 FY2016'!$F:$F)</f>
        <v>0</v>
      </c>
      <c r="G50" s="16">
        <f>-SUMIF('1.2 FY2017'!$B:$B,'2.1 Database'!B50,'1.2 FY2017'!$F:$F)</f>
        <v>0</v>
      </c>
      <c r="H50" s="16">
        <f>-SUMIF('1.3 FY2018'!$B:$B,'2.1 Database'!B50,'1.3 FY2018'!$F:$F)</f>
        <v>0</v>
      </c>
      <c r="J50" s="31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6">
        <f>-SUMIF('1.1 FY2016'!$B:$B,'2.1 Database'!B51,'1.1 FY2016'!$F:$F)</f>
        <v>0</v>
      </c>
      <c r="G51" s="16">
        <f>-SUMIF('1.2 FY2017'!$B:$B,'2.1 Database'!B51,'1.2 FY2017'!$F:$F)</f>
        <v>0</v>
      </c>
      <c r="H51" s="16">
        <f>-SUMIF('1.3 FY2018'!$B:$B,'2.1 Database'!B51,'1.3 FY2018'!$F:$F)</f>
        <v>0</v>
      </c>
      <c r="J51" s="31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6">
        <f>-SUMIF('1.1 FY2016'!$B:$B,'2.1 Database'!B52,'1.1 FY2016'!$F:$F)</f>
        <v>35810.228000000003</v>
      </c>
      <c r="G52" s="16">
        <f>-SUMIF('1.2 FY2017'!$B:$B,'2.1 Database'!B52,'1.2 FY2017'!$F:$F)</f>
        <v>34224.959999999999</v>
      </c>
      <c r="H52" s="16">
        <f>-SUMIF('1.3 FY2018'!$B:$B,'2.1 Database'!B52,'1.3 FY2018'!$F:$F)</f>
        <v>0</v>
      </c>
      <c r="J52" s="31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6">
        <f>-SUMIF('1.1 FY2016'!$B:$B,'2.1 Database'!B53,'1.1 FY2016'!$F:$F)</f>
        <v>51927.417999999998</v>
      </c>
      <c r="G53" s="16">
        <f>-SUMIF('1.2 FY2017'!$B:$B,'2.1 Database'!B53,'1.2 FY2017'!$F:$F)</f>
        <v>2204.7199999999998</v>
      </c>
      <c r="H53" s="16">
        <f>-SUMIF('1.3 FY2018'!$B:$B,'2.1 Database'!B53,'1.3 FY2018'!$F:$F)</f>
        <v>73809.511999999988</v>
      </c>
      <c r="J53" s="31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6">
        <f>-SUMIF('1.1 FY2016'!$B:$B,'2.1 Database'!B54,'1.1 FY2016'!$F:$F)</f>
        <v>862270.63399999996</v>
      </c>
      <c r="G54" s="16">
        <f>-SUMIF('1.2 FY2017'!$B:$B,'2.1 Database'!B54,'1.2 FY2017'!$F:$F)</f>
        <v>0</v>
      </c>
      <c r="H54" s="16">
        <f>-SUMIF('1.3 FY2018'!$B:$B,'2.1 Database'!B54,'1.3 FY2018'!$F:$F)</f>
        <v>0</v>
      </c>
      <c r="J54" s="31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6">
        <f>-SUMIF('1.1 FY2016'!$B:$B,'2.1 Database'!B55,'1.1 FY2016'!$F:$F)</f>
        <v>-22763</v>
      </c>
      <c r="G55" s="16">
        <f>-SUMIF('1.2 FY2017'!$B:$B,'2.1 Database'!B55,'1.2 FY2017'!$F:$F)</f>
        <v>-80617.179999999993</v>
      </c>
      <c r="H55" s="16">
        <f>-SUMIF('1.3 FY2018'!$B:$B,'2.1 Database'!B55,'1.3 FY2018'!$F:$F)</f>
        <v>-7173.195999999999</v>
      </c>
      <c r="J55" s="31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6">
        <f>-SUMIF('1.1 FY2016'!$B:$B,'2.1 Database'!B56,'1.1 FY2016'!$F:$F)</f>
        <v>-2930430.0120000001</v>
      </c>
      <c r="G56" s="16">
        <f>-SUMIF('1.2 FY2017'!$B:$B,'2.1 Database'!B56,'1.2 FY2017'!$F:$F)</f>
        <v>-2752704.22</v>
      </c>
      <c r="H56" s="16">
        <f>-SUMIF('1.3 FY2018'!$B:$B,'2.1 Database'!B56,'1.3 FY2018'!$F:$F)</f>
        <v>-2324465.8859999999</v>
      </c>
      <c r="J56" s="31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6">
        <f>-SUMIF('1.1 FY2016'!$B:$B,'2.1 Database'!B57,'1.1 FY2016'!$F:$F)</f>
        <v>49378.641999999993</v>
      </c>
      <c r="G57" s="16">
        <f>-SUMIF('1.2 FY2017'!$B:$B,'2.1 Database'!B57,'1.2 FY2017'!$F:$F)</f>
        <v>-496748.70000000007</v>
      </c>
      <c r="H57" s="16">
        <f>-SUMIF('1.3 FY2018'!$B:$B,'2.1 Database'!B57,'1.3 FY2018'!$F:$F)</f>
        <v>-2558.1950000000002</v>
      </c>
      <c r="J57" s="31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6">
        <f>-SUMIF('1.1 FY2016'!$B:$B,'2.1 Database'!B58,'1.1 FY2016'!$F:$F)</f>
        <v>-516250.67</v>
      </c>
      <c r="G58" s="16">
        <f>-SUMIF('1.2 FY2017'!$B:$B,'2.1 Database'!B58,'1.2 FY2017'!$F:$F)</f>
        <v>-480872.96000000002</v>
      </c>
      <c r="H58" s="16">
        <f>-SUMIF('1.3 FY2018'!$B:$B,'2.1 Database'!B58,'1.3 FY2018'!$F:$F)</f>
        <v>-522710.353</v>
      </c>
      <c r="J58" s="31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6">
        <f>-SUMIF('1.1 FY2016'!$B:$B,'2.1 Database'!B59,'1.1 FY2016'!$F:$F)</f>
        <v>-21593.093999999997</v>
      </c>
      <c r="G59" s="16">
        <f>-SUMIF('1.2 FY2017'!$B:$B,'2.1 Database'!B59,'1.2 FY2017'!$F:$F)</f>
        <v>-6570.3050000000003</v>
      </c>
      <c r="H59" s="16">
        <f>-SUMIF('1.3 FY2018'!$B:$B,'2.1 Database'!B59,'1.3 FY2018'!$F:$F)</f>
        <v>160303.52199999997</v>
      </c>
      <c r="J59" s="31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6">
        <f>SUMIF('1.1 FY2016'!$B:$B,'2.1 Database'!B60,'1.1 FY2016'!$F:$F)</f>
        <v>-2904117.9939999986</v>
      </c>
      <c r="G60" s="16">
        <f>SUMIF('1.2 FY2017'!$B:$B,'2.1 Database'!B60,'1.2 FY2017'!$F:$F)</f>
        <v>0</v>
      </c>
      <c r="H60" s="16">
        <f>SUMIF('1.3 FY2018'!$B:$B,'2.1 Database'!B60,'1.3 FY2018'!$F:$F)</f>
        <v>0</v>
      </c>
      <c r="J60" s="31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6">
        <f>-SUMIF('1.1 FY2016'!$B:$B,'2.1 Database'!B61,'1.1 FY2016'!$F:$F)</f>
        <v>0</v>
      </c>
      <c r="G61" s="16">
        <f>-SUMIF('1.2 FY2017'!$B:$B,'2.1 Database'!B61,'1.2 FY2017'!$F:$F)</f>
        <v>355396.61499999999</v>
      </c>
      <c r="H61" s="16">
        <f>-SUMIF('1.3 FY2018'!$B:$B,'2.1 Database'!B61,'1.3 FY2018'!$F:$F)</f>
        <v>616462.01899999997</v>
      </c>
      <c r="J61" s="31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6">
        <f>-SUMIF('1.1 FY2016'!$B:$B,'2.1 Database'!B62,'1.1 FY2016'!$F:$F)</f>
        <v>0</v>
      </c>
      <c r="G62" s="16">
        <f>-SUMIF('1.2 FY2017'!$B:$B,'2.1 Database'!B62,'1.2 FY2017'!$F:$F)</f>
        <v>420017.14999999997</v>
      </c>
      <c r="H62" s="16">
        <f>-SUMIF('1.3 FY2018'!$B:$B,'2.1 Database'!B62,'1.3 FY2018'!$F:$F)</f>
        <v>0</v>
      </c>
      <c r="J62" s="31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6">
        <f>-SUMIF('1.1 FY2016'!$B:$B,'2.1 Database'!B63,'1.1 FY2016'!$F:$F)</f>
        <v>0</v>
      </c>
      <c r="G63" s="16">
        <f>-SUMIF('1.2 FY2017'!$B:$B,'2.1 Database'!B63,'1.2 FY2017'!$F:$F)</f>
        <v>-14589.33</v>
      </c>
      <c r="H63" s="16">
        <f>-SUMIF('1.3 FY2018'!$B:$B,'2.1 Database'!B63,'1.3 FY2018'!$F:$F)</f>
        <v>-20504.509999999998</v>
      </c>
      <c r="J63" s="31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6">
        <f>-SUMIF('1.1 FY2016'!$B:$B,'2.1 Database'!B64,'1.1 FY2016'!$F:$F)</f>
        <v>0</v>
      </c>
      <c r="G64" s="16">
        <f>-SUMIF('1.2 FY2017'!$B:$B,'2.1 Database'!B64,'1.2 FY2017'!$F:$F)</f>
        <v>-38521</v>
      </c>
      <c r="H64" s="16">
        <f>-SUMIF('1.3 FY2018'!$B:$B,'2.1 Database'!B64,'1.3 FY2018'!$F:$F)</f>
        <v>0</v>
      </c>
      <c r="J64" s="31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6">
        <f>-SUMIF('1.1 FY2016'!$B:$B,'2.1 Database'!B65,'1.1 FY2016'!$F:$F)</f>
        <v>0</v>
      </c>
      <c r="G65" s="16">
        <f>-SUMIF('1.2 FY2017'!$B:$B,'2.1 Database'!B65,'1.2 FY2017'!$F:$F)</f>
        <v>-1820</v>
      </c>
      <c r="H65" s="16">
        <f>-SUMIF('1.3 FY2018'!$B:$B,'2.1 Database'!B65,'1.3 FY2018'!$F:$F)</f>
        <v>0</v>
      </c>
      <c r="J65" s="31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6">
        <f>-SUMIF('1.1 FY2016'!$B:$B,'2.1 Database'!B66,'1.1 FY2016'!$F:$F)</f>
        <v>0</v>
      </c>
      <c r="G66" s="16">
        <f>-SUMIF('1.2 FY2017'!$B:$B,'2.1 Database'!B66,'1.2 FY2017'!$F:$F)</f>
        <v>-10448.129999999999</v>
      </c>
      <c r="H66" s="16">
        <f>-SUMIF('1.3 FY2018'!$B:$B,'2.1 Database'!B66,'1.3 FY2018'!$F:$F)</f>
        <v>-673.34299999999985</v>
      </c>
      <c r="J66" s="31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6">
        <f>-SUMIF('1.1 FY2016'!$B:$B,'2.1 Database'!B67,'1.1 FY2016'!$F:$F)</f>
        <v>0</v>
      </c>
      <c r="G67" s="16">
        <f>-SUMIF('1.2 FY2017'!$B:$B,'2.1 Database'!B67,'1.2 FY2017'!$F:$F)</f>
        <v>-10412.5</v>
      </c>
      <c r="H67" s="16">
        <f>-SUMIF('1.3 FY2018'!$B:$B,'2.1 Database'!B67,'1.3 FY2018'!$F:$F)</f>
        <v>0</v>
      </c>
      <c r="J67" s="31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6">
        <f>-SUMIF('1.1 FY2016'!$B:$B,'2.1 Database'!B68,'1.1 FY2016'!$F:$F)</f>
        <v>0</v>
      </c>
      <c r="G68" s="16">
        <f>-SUMIF('1.2 FY2017'!$B:$B,'2.1 Database'!B68,'1.2 FY2017'!$F:$F)</f>
        <v>-6919.8499999999995</v>
      </c>
      <c r="H68" s="16">
        <f>-SUMIF('1.3 FY2018'!$B:$B,'2.1 Database'!B68,'1.3 FY2018'!$F:$F)</f>
        <v>0</v>
      </c>
      <c r="J68" s="31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6">
        <f>-SUMIF('1.1 FY2016'!$B:$B,'2.1 Database'!B69,'1.1 FY2016'!$F:$F)</f>
        <v>0</v>
      </c>
      <c r="G69" s="16">
        <f>-SUMIF('1.2 FY2017'!$B:$B,'2.1 Database'!B69,'1.2 FY2017'!$F:$F)</f>
        <v>121553.07499999998</v>
      </c>
      <c r="H69" s="16">
        <f>-SUMIF('1.3 FY2018'!$B:$B,'2.1 Database'!B69,'1.3 FY2018'!$F:$F)</f>
        <v>0</v>
      </c>
      <c r="J69" s="31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6">
        <f>-SUMIF('1.1 FY2016'!$B:$B,'2.1 Database'!B70,'1.1 FY2016'!$F:$F)</f>
        <v>0</v>
      </c>
      <c r="G70" s="16">
        <f>-SUMIF('1.2 FY2017'!$B:$B,'2.1 Database'!B70,'1.2 FY2017'!$F:$F)</f>
        <v>416278.66</v>
      </c>
      <c r="H70" s="16">
        <f>-SUMIF('1.3 FY2018'!$B:$B,'2.1 Database'!B70,'1.3 FY2018'!$F:$F)</f>
        <v>622966.38600000006</v>
      </c>
      <c r="J70" s="31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6">
        <f>-SUMIF('1.1 FY2016'!$B:$B,'2.1 Database'!B71,'1.1 FY2016'!$F:$F)</f>
        <v>0</v>
      </c>
      <c r="G71" s="16">
        <f>-SUMIF('1.2 FY2017'!$B:$B,'2.1 Database'!B71,'1.2 FY2017'!$F:$F)</f>
        <v>364243.84499999997</v>
      </c>
      <c r="H71" s="16">
        <f>-SUMIF('1.3 FY2018'!$B:$B,'2.1 Database'!B71,'1.3 FY2018'!$F:$F)</f>
        <v>0</v>
      </c>
      <c r="J71" s="31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6">
        <f>-SUMIF('1.1 FY2016'!$B:$B,'2.1 Database'!B72,'1.1 FY2016'!$F:$F)</f>
        <v>0</v>
      </c>
      <c r="G72" s="16">
        <f>-SUMIF('1.2 FY2017'!$B:$B,'2.1 Database'!B72,'1.2 FY2017'!$F:$F)</f>
        <v>0</v>
      </c>
      <c r="H72" s="16">
        <f>-SUMIF('1.3 FY2018'!$B:$B,'2.1 Database'!B72,'1.3 FY2018'!$F:$F)</f>
        <v>0</v>
      </c>
      <c r="J72" s="31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6">
        <f>-SUMIF('1.1 FY2016'!$B:$B,'2.1 Database'!B73,'1.1 FY2016'!$F:$F)</f>
        <v>0</v>
      </c>
      <c r="G73" s="16">
        <f>-SUMIF('1.2 FY2017'!$B:$B,'2.1 Database'!B73,'1.2 FY2017'!$F:$F)</f>
        <v>482611.04499999998</v>
      </c>
      <c r="H73" s="16">
        <f>-SUMIF('1.3 FY2018'!$B:$B,'2.1 Database'!B73,'1.3 FY2018'!$F:$F)</f>
        <v>1948832.1429999999</v>
      </c>
      <c r="J73" s="31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6">
        <f>-SUMIF('1.1 FY2016'!$B:$B,'2.1 Database'!B74,'1.1 FY2016'!$F:$F)</f>
        <v>0</v>
      </c>
      <c r="G74" s="16">
        <f>-SUMIF('1.2 FY2017'!$B:$B,'2.1 Database'!B74,'1.2 FY2017'!$F:$F)</f>
        <v>2436.35</v>
      </c>
      <c r="H74" s="16">
        <f>-SUMIF('1.3 FY2018'!$B:$B,'2.1 Database'!B74,'1.3 FY2018'!$F:$F)</f>
        <v>0</v>
      </c>
      <c r="J74" s="31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6">
        <f>-SUMIF('1.1 FY2016'!$B:$B,'2.1 Database'!B75,'1.1 FY2016'!$F:$F)</f>
        <v>0</v>
      </c>
      <c r="G75" s="16">
        <f>-SUMIF('1.2 FY2017'!$B:$B,'2.1 Database'!B75,'1.2 FY2017'!$F:$F)</f>
        <v>-81.339999999999989</v>
      </c>
      <c r="H75" s="16">
        <f>-SUMIF('1.3 FY2018'!$B:$B,'2.1 Database'!B75,'1.3 FY2018'!$F:$F)</f>
        <v>0</v>
      </c>
      <c r="J75" s="31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6">
        <f>-SUMIF('1.1 FY2016'!$B:$B,'2.1 Database'!B76,'1.1 FY2016'!$F:$F)</f>
        <v>0</v>
      </c>
      <c r="G76" s="16">
        <f>-SUMIF('1.2 FY2017'!$B:$B,'2.1 Database'!B76,'1.2 FY2017'!$F:$F)</f>
        <v>-276920</v>
      </c>
      <c r="H76" s="16">
        <f>-SUMIF('1.3 FY2018'!$B:$B,'2.1 Database'!B76,'1.3 FY2018'!$F:$F)</f>
        <v>-473575.46100000001</v>
      </c>
      <c r="J76" s="31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6">
        <f>-SUMIF('1.1 FY2016'!$B:$B,'2.1 Database'!B77,'1.1 FY2016'!$F:$F)</f>
        <v>0</v>
      </c>
      <c r="G77" s="16">
        <f>-SUMIF('1.2 FY2017'!$B:$B,'2.1 Database'!B77,'1.2 FY2017'!$F:$F)</f>
        <v>0</v>
      </c>
      <c r="H77" s="16">
        <f>-SUMIF('1.3 FY2018'!$B:$B,'2.1 Database'!B77,'1.3 FY2018'!$F:$F)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6">
        <f>-SUMIF('1.1 FY2016'!$B:$B,'2.1 Database'!B78,'1.1 FY2016'!$F:$F)</f>
        <v>0</v>
      </c>
      <c r="G78" s="16">
        <f>-SUMIF('1.2 FY2017'!$B:$B,'2.1 Database'!B78,'1.2 FY2017'!$F:$F)</f>
        <v>-23928.799999999999</v>
      </c>
      <c r="H78" s="16">
        <f>-SUMIF('1.3 FY2018'!$B:$B,'2.1 Database'!B78,'1.3 FY2018'!$F:$F)</f>
        <v>0</v>
      </c>
      <c r="J78" s="31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6">
        <f>-SUMIF('1.1 FY2016'!$B:$B,'2.1 Database'!B79,'1.1 FY2016'!$F:$F)</f>
        <v>0</v>
      </c>
      <c r="G79" s="16">
        <f>-SUMIF('1.2 FY2017'!$B:$B,'2.1 Database'!B79,'1.2 FY2017'!$F:$F)</f>
        <v>-308232</v>
      </c>
      <c r="H79" s="16">
        <f>-SUMIF('1.3 FY2018'!$B:$B,'2.1 Database'!B79,'1.3 FY2018'!$F:$F)</f>
        <v>0</v>
      </c>
      <c r="J79" s="31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6">
        <f>-SUMIF('1.1 FY2016'!$B:$B,'2.1 Database'!B80,'1.1 FY2016'!$F:$F)</f>
        <v>0</v>
      </c>
      <c r="G80" s="16">
        <f>-SUMIF('1.2 FY2017'!$B:$B,'2.1 Database'!B80,'1.2 FY2017'!$F:$F)</f>
        <v>-13422.779999999999</v>
      </c>
      <c r="H80" s="16">
        <f>-SUMIF('1.3 FY2018'!$B:$B,'2.1 Database'!B80,'1.3 FY2018'!$F:$F)</f>
        <v>0</v>
      </c>
      <c r="J80" s="31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6">
        <f>-SUMIF('1.1 FY2016'!$B:$B,'2.1 Database'!B81,'1.1 FY2016'!$F:$F)</f>
        <v>0</v>
      </c>
      <c r="G81" s="16">
        <f>-SUMIF('1.2 FY2017'!$B:$B,'2.1 Database'!B81,'1.2 FY2017'!$F:$F)</f>
        <v>-4045.6150000000002</v>
      </c>
      <c r="H81" s="16">
        <f>-SUMIF('1.3 FY2018'!$B:$B,'2.1 Database'!B81,'1.3 FY2018'!$F:$F)</f>
        <v>0</v>
      </c>
      <c r="J81" s="31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6">
        <f>-SUMIF('1.1 FY2016'!$B:$B,'2.1 Database'!B82,'1.1 FY2016'!$F:$F)</f>
        <v>0</v>
      </c>
      <c r="G82" s="16">
        <f>-SUMIF('1.2 FY2017'!$B:$B,'2.1 Database'!B82,'1.2 FY2017'!$F:$F)</f>
        <v>-49621.144999999997</v>
      </c>
      <c r="H82" s="16">
        <f>-SUMIF('1.3 FY2018'!$B:$B,'2.1 Database'!B82,'1.3 FY2018'!$F:$F)</f>
        <v>0</v>
      </c>
      <c r="J82" s="31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6">
        <f>-SUMIF('1.1 FY2016'!$B:$B,'2.1 Database'!B83,'1.1 FY2016'!$F:$F)</f>
        <v>0</v>
      </c>
      <c r="G83" s="16">
        <f>-SUMIF('1.2 FY2017'!$B:$B,'2.1 Database'!B83,'1.2 FY2017'!$F:$F)</f>
        <v>-85462.684999999998</v>
      </c>
      <c r="H83" s="16">
        <f>-SUMIF('1.3 FY2018'!$B:$B,'2.1 Database'!B83,'1.3 FY2018'!$F:$F)</f>
        <v>0</v>
      </c>
      <c r="J83" s="31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6">
        <f>-SUMIF('1.1 FY2016'!$B:$B,'2.1 Database'!B84,'1.1 FY2016'!$F:$F)</f>
        <v>0</v>
      </c>
      <c r="G84" s="16">
        <f>-SUMIF('1.2 FY2017'!$B:$B,'2.1 Database'!B84,'1.2 FY2017'!$F:$F)</f>
        <v>-11422.144999999999</v>
      </c>
      <c r="H84" s="16">
        <f>-SUMIF('1.3 FY2018'!$B:$B,'2.1 Database'!B84,'1.3 FY2018'!$F:$F)</f>
        <v>0</v>
      </c>
      <c r="J84" s="31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6">
        <f>-SUMIF('1.1 FY2016'!$B:$B,'2.1 Database'!B85,'1.1 FY2016'!$F:$F)</f>
        <v>0</v>
      </c>
      <c r="G85" s="16">
        <f>-SUMIF('1.2 FY2017'!$B:$B,'2.1 Database'!B85,'1.2 FY2017'!$F:$F)</f>
        <v>-84438.864999999991</v>
      </c>
      <c r="H85" s="16">
        <f>-SUMIF('1.3 FY2018'!$B:$B,'2.1 Database'!B85,'1.3 FY2018'!$F:$F)</f>
        <v>0</v>
      </c>
      <c r="J85" s="31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6">
        <f>-SUMIF('1.1 FY2016'!$B:$B,'2.1 Database'!B86,'1.1 FY2016'!$F:$F)</f>
        <v>0</v>
      </c>
      <c r="G86" s="16">
        <f>-SUMIF('1.2 FY2017'!$B:$B,'2.1 Database'!B86,'1.2 FY2017'!$F:$F)</f>
        <v>0</v>
      </c>
      <c r="H86" s="16">
        <f>-SUMIF('1.3 FY2018'!$B:$B,'2.1 Database'!B86,'1.3 FY2018'!$F:$F)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6">
        <f>-SUMIF('1.1 FY2016'!$B:$B,'2.1 Database'!B87,'1.1 FY2016'!$F:$F)</f>
        <v>0</v>
      </c>
      <c r="G87" s="16">
        <f>-SUMIF('1.2 FY2017'!$B:$B,'2.1 Database'!B87,'1.2 FY2017'!$F:$F)</f>
        <v>0</v>
      </c>
      <c r="H87" s="16">
        <f>-SUMIF('1.3 FY2018'!$B:$B,'2.1 Database'!B87,'1.3 FY2018'!$F:$F)</f>
        <v>0</v>
      </c>
      <c r="J87" s="31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6">
        <f>-SUMIF('1.1 FY2016'!$B:$B,'2.1 Database'!B88,'1.1 FY2016'!$F:$F)</f>
        <v>0</v>
      </c>
      <c r="G88" s="16">
        <f>-SUMIF('1.2 FY2017'!$B:$B,'2.1 Database'!B88,'1.2 FY2017'!$F:$F)</f>
        <v>6778.415</v>
      </c>
      <c r="H88" s="16">
        <f>-SUMIF('1.3 FY2018'!$B:$B,'2.1 Database'!B88,'1.3 FY2018'!$F:$F)</f>
        <v>0</v>
      </c>
      <c r="J88" s="31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6">
        <f>-SUMIF('1.1 FY2016'!$B:$B,'2.1 Database'!B89,'1.1 FY2016'!$F:$F)</f>
        <v>0</v>
      </c>
      <c r="G89" s="16">
        <f>-SUMIF('1.2 FY2017'!$B:$B,'2.1 Database'!B89,'1.2 FY2017'!$F:$F)</f>
        <v>0</v>
      </c>
      <c r="H89" s="16">
        <f>-SUMIF('1.3 FY2018'!$B:$B,'2.1 Database'!B89,'1.3 FY2018'!$F:$F)</f>
        <v>0</v>
      </c>
      <c r="J89" s="31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6">
        <f>-SUMIF('1.1 FY2016'!$B:$B,'2.1 Database'!B90,'1.1 FY2016'!$F:$F)</f>
        <v>0</v>
      </c>
      <c r="G90" s="16">
        <f>-SUMIF('1.2 FY2017'!$B:$B,'2.1 Database'!B90,'1.2 FY2017'!$F:$F)</f>
        <v>-1250.7950000000001</v>
      </c>
      <c r="H90" s="16">
        <f>-SUMIF('1.3 FY2018'!$B:$B,'2.1 Database'!B90,'1.3 FY2018'!$F:$F)</f>
        <v>-51.454999999999998</v>
      </c>
      <c r="J90" s="31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6">
        <f>-SUMIF('1.1 FY2016'!$B:$B,'2.1 Database'!B91,'1.1 FY2016'!$F:$F)</f>
        <v>0</v>
      </c>
      <c r="G91" s="16">
        <f>-SUMIF('1.2 FY2017'!$B:$B,'2.1 Database'!B91,'1.2 FY2017'!$F:$F)</f>
        <v>-4130000</v>
      </c>
      <c r="H91" s="16">
        <f>-SUMIF('1.3 FY2018'!$B:$B,'2.1 Database'!B91,'1.3 FY2018'!$F:$F)</f>
        <v>0</v>
      </c>
      <c r="J91" s="31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6">
        <f>-SUMIF('1.1 FY2016'!$B:$B,'2.1 Database'!B92,'1.1 FY2016'!$F:$F)</f>
        <v>0</v>
      </c>
      <c r="G92" s="16">
        <f>-SUMIF('1.2 FY2017'!$B:$B,'2.1 Database'!B92,'1.2 FY2017'!$F:$F)</f>
        <v>0</v>
      </c>
      <c r="H92" s="16">
        <f>-SUMIF('1.3 FY2018'!$B:$B,'2.1 Database'!B92,'1.3 FY2018'!$F:$F)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">
      <c r="B93" s="18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6">
        <f>SUMIF('1.1 FY2016'!$B:$B,'2.1 Database'!B93,'1.1 FY2016'!$F:$F)</f>
        <v>0</v>
      </c>
      <c r="G93" s="16">
        <f>SUMIF('1.2 FY2017'!$B:$B,'2.1 Database'!B93,'1.2 FY2017'!$F:$F)</f>
        <v>6073808.1600000001</v>
      </c>
      <c r="H93" s="16">
        <f>SUMIF('1.3 FY2018'!$B:$B,'2.1 Database'!B93,'1.3 FY2018'!$F:$F)</f>
        <v>-779290.47600000002</v>
      </c>
      <c r="J93" s="31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6">
        <f>-SUMIF('1.1 FY2016'!$B:$B,'2.1 Database'!B94,'1.1 FY2016'!$F:$F)</f>
        <v>0</v>
      </c>
      <c r="G94" s="16">
        <f>-SUMIF('1.2 FY2017'!$B:$B,'2.1 Database'!B94,'1.2 FY2017'!$F:$F)</f>
        <v>0</v>
      </c>
      <c r="H94" s="16">
        <f>-SUMIF('1.3 FY2018'!$B:$B,'2.1 Database'!B94,'1.3 FY2018'!$F:$F)</f>
        <v>-13691.949999999999</v>
      </c>
      <c r="J94" s="31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6">
        <f>-SUMIF('1.1 FY2016'!$B:$B,'2.1 Database'!B95,'1.1 FY2016'!$F:$F)</f>
        <v>0</v>
      </c>
      <c r="G95" s="16">
        <f>-SUMIF('1.2 FY2017'!$B:$B,'2.1 Database'!B95,'1.2 FY2017'!$F:$F)</f>
        <v>0</v>
      </c>
      <c r="H95" s="16">
        <f>-SUMIF('1.3 FY2018'!$B:$B,'2.1 Database'!B95,'1.3 FY2018'!$F:$F)</f>
        <v>-192017.14499999996</v>
      </c>
      <c r="J95" s="31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6">
        <f>-SUMIF('1.1 FY2016'!$B:$B,'2.1 Database'!B96,'1.1 FY2016'!$F:$F)</f>
        <v>0</v>
      </c>
      <c r="G96" s="16">
        <f>-SUMIF('1.2 FY2017'!$B:$B,'2.1 Database'!B96,'1.2 FY2017'!$F:$F)</f>
        <v>0</v>
      </c>
      <c r="H96" s="16">
        <f>-SUMIF('1.3 FY2018'!$B:$B,'2.1 Database'!B96,'1.3 FY2018'!$F:$F)</f>
        <v>-375290.46599999996</v>
      </c>
      <c r="J96" s="31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6">
        <f>-SUMIF('1.1 FY2016'!$B:$B,'2.1 Database'!B97,'1.1 FY2016'!$F:$F)</f>
        <v>0</v>
      </c>
      <c r="G97" s="16">
        <f>-SUMIF('1.2 FY2017'!$B:$B,'2.1 Database'!B97,'1.2 FY2017'!$F:$F)</f>
        <v>0</v>
      </c>
      <c r="H97" s="16">
        <f>-SUMIF('1.3 FY2018'!$B:$B,'2.1 Database'!B97,'1.3 FY2018'!$F:$F)</f>
        <v>-4920</v>
      </c>
      <c r="J97" s="31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6">
        <f>-SUMIF('1.1 FY2016'!$B:$B,'2.1 Database'!B98,'1.1 FY2016'!$F:$F)</f>
        <v>0</v>
      </c>
      <c r="G98" s="16">
        <f>-SUMIF('1.2 FY2017'!$B:$B,'2.1 Database'!B98,'1.2 FY2017'!$F:$F)</f>
        <v>0</v>
      </c>
      <c r="H98" s="16">
        <f>-SUMIF('1.3 FY2018'!$B:$B,'2.1 Database'!B98,'1.3 FY2018'!$F:$F)</f>
        <v>0</v>
      </c>
      <c r="J98" s="31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6">
        <f>-SUMIF('1.1 FY2016'!$B:$B,'2.1 Database'!B99,'1.1 FY2016'!$F:$F)</f>
        <v>0</v>
      </c>
      <c r="G99" s="16">
        <f>-SUMIF('1.2 FY2017'!$B:$B,'2.1 Database'!B99,'1.2 FY2017'!$F:$F)</f>
        <v>0</v>
      </c>
      <c r="H99" s="16">
        <f>-SUMIF('1.3 FY2018'!$B:$B,'2.1 Database'!B99,'1.3 FY2018'!$F:$F)</f>
        <v>1252.8369999999998</v>
      </c>
      <c r="J99" s="31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6">
        <f>-SUMIF('1.1 FY2016'!$B:$B,'2.1 Database'!B100,'1.1 FY2016'!$F:$F)</f>
        <v>0</v>
      </c>
      <c r="G100" s="16">
        <f>-SUMIF('1.2 FY2017'!$B:$B,'2.1 Database'!B100,'1.2 FY2017'!$F:$F)</f>
        <v>0</v>
      </c>
      <c r="H100" s="16">
        <f>-SUMIF('1.3 FY2018'!$B:$B,'2.1 Database'!B100,'1.3 FY2018'!$F:$F)</f>
        <v>0</v>
      </c>
      <c r="J100" s="31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6">
        <f>-SUMIF('1.1 FY2016'!$B:$B,'2.1 Database'!B101,'1.1 FY2016'!$F:$F)</f>
        <v>0</v>
      </c>
      <c r="G101" s="16">
        <f>-SUMIF('1.2 FY2017'!$B:$B,'2.1 Database'!B101,'1.2 FY2017'!$F:$F)</f>
        <v>0</v>
      </c>
      <c r="H101" s="16">
        <f>-SUMIF('1.3 FY2018'!$B:$B,'2.1 Database'!B101,'1.3 FY2018'!$F:$F)</f>
        <v>61499.999999999993</v>
      </c>
      <c r="J101" s="31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6">
        <f>-SUMIF('1.1 FY2016'!$B:$B,'2.1 Database'!B102,'1.1 FY2016'!$F:$F)</f>
        <v>0</v>
      </c>
      <c r="G102" s="16">
        <f>-SUMIF('1.2 FY2017'!$B:$B,'2.1 Database'!B102,'1.2 FY2017'!$F:$F)</f>
        <v>0</v>
      </c>
      <c r="H102" s="16">
        <f>-SUMIF('1.3 FY2018'!$B:$B,'2.1 Database'!B102,'1.3 FY2018'!$F:$F)</f>
        <v>30913.425999999996</v>
      </c>
      <c r="J102" s="31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6">
        <f>-SUMIF('1.1 FY2016'!$B:$B,'2.1 Database'!B103,'1.1 FY2016'!$F:$F)</f>
        <v>0</v>
      </c>
      <c r="G103" s="16">
        <f>-SUMIF('1.2 FY2017'!$B:$B,'2.1 Database'!B103,'1.2 FY2017'!$F:$F)</f>
        <v>0</v>
      </c>
      <c r="H103" s="16">
        <f>-SUMIF('1.3 FY2018'!$B:$B,'2.1 Database'!B103,'1.3 FY2018'!$F:$F)</f>
        <v>1423120</v>
      </c>
      <c r="J103" s="31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6">
        <f>-SUMIF('1.1 FY2016'!$B:$B,'2.1 Database'!B104,'1.1 FY2016'!$F:$F)</f>
        <v>0</v>
      </c>
      <c r="G104" s="16">
        <f>-SUMIF('1.2 FY2017'!$B:$B,'2.1 Database'!B104,'1.2 FY2017'!$F:$F)</f>
        <v>0</v>
      </c>
      <c r="H104" s="16">
        <f>-SUMIF('1.3 FY2018'!$B:$B,'2.1 Database'!B104,'1.3 FY2018'!$F:$F)</f>
        <v>-584.66</v>
      </c>
      <c r="J104" s="31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6">
        <f>-SUMIF('1.1 FY2016'!$B:$B,'2.1 Database'!B105,'1.1 FY2016'!$F:$F)</f>
        <v>0</v>
      </c>
      <c r="G105" s="16">
        <f>-SUMIF('1.2 FY2017'!$B:$B,'2.1 Database'!B105,'1.2 FY2017'!$F:$F)</f>
        <v>0</v>
      </c>
      <c r="H105" s="16">
        <f>-SUMIF('1.3 FY2018'!$B:$B,'2.1 Database'!B105,'1.3 FY2018'!$F:$F)</f>
        <v>-1352.9999999999998</v>
      </c>
      <c r="J105" s="31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6">
        <f>-SUMIF('1.1 FY2016'!$B:$B,'2.1 Database'!B106,'1.1 FY2016'!$F:$F)</f>
        <v>0</v>
      </c>
      <c r="G106" s="16">
        <f>-SUMIF('1.2 FY2017'!$B:$B,'2.1 Database'!B106,'1.2 FY2017'!$F:$F)</f>
        <v>0</v>
      </c>
      <c r="H106" s="16">
        <f>-SUMIF('1.3 FY2018'!$B:$B,'2.1 Database'!B106,'1.3 FY2018'!$F:$F)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6">
        <f>-SUMIF('1.1 FY2016'!$B:$B,'2.1 Database'!B107,'1.1 FY2016'!$F:$F)</f>
        <v>0</v>
      </c>
      <c r="G107" s="16">
        <f>-SUMIF('1.2 FY2017'!$B:$B,'2.1 Database'!B107,'1.2 FY2017'!$F:$F)</f>
        <v>0</v>
      </c>
      <c r="H107" s="16">
        <f>-SUMIF('1.3 FY2018'!$B:$B,'2.1 Database'!B107,'1.3 FY2018'!$F:$F)</f>
        <v>0</v>
      </c>
      <c r="J107" s="31">
        <v>0</v>
      </c>
      <c r="K107" s="2">
        <f>+COUNTIF('2.2 P&amp;L statement'!$B$4:$B$24,'2.1 Database'!J107)</f>
        <v>0</v>
      </c>
    </row>
    <row r="108" spans="2:11" ht="14.4" x14ac:dyDescent="0.3">
      <c r="B108"/>
      <c r="J108" s="22" t="s">
        <v>100</v>
      </c>
      <c r="K108" s="2" t="s">
        <v>100</v>
      </c>
    </row>
    <row r="109" spans="2:11" ht="14.4" x14ac:dyDescent="0.3">
      <c r="B109"/>
    </row>
    <row r="110" spans="2:11" ht="14.4" x14ac:dyDescent="0.3">
      <c r="B110"/>
    </row>
    <row r="111" spans="2:11" ht="14.4" x14ac:dyDescent="0.3">
      <c r="B111"/>
    </row>
    <row r="112" spans="2:11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D17" sqref="D17"/>
    </sheetView>
  </sheetViews>
  <sheetFormatPr defaultColWidth="9.109375" defaultRowHeight="12" customHeight="1" outlineLevelRow="1" x14ac:dyDescent="0.2"/>
  <cols>
    <col min="1" max="1" width="2" style="2" customWidth="1"/>
    <col min="2" max="2" width="22.88671875" style="2" bestFit="1" customWidth="1"/>
    <col min="3" max="3" width="12.44140625" style="2" bestFit="1" customWidth="1"/>
    <col min="4" max="5" width="9.109375" style="2"/>
    <col min="6" max="6" width="2" style="2" customWidth="1"/>
    <col min="7" max="16384" width="9.109375" style="2"/>
  </cols>
  <sheetData>
    <row r="1" spans="1:10" s="16" customFormat="1" ht="15.6" x14ac:dyDescent="0.3">
      <c r="A1" s="2"/>
      <c r="B1" s="3" t="s">
        <v>92</v>
      </c>
      <c r="C1" s="2"/>
    </row>
    <row r="2" spans="1:10" s="16" customFormat="1" ht="11.4" x14ac:dyDescent="0.2">
      <c r="A2" s="2"/>
      <c r="B2" s="2"/>
      <c r="C2" s="2"/>
    </row>
    <row r="3" spans="1:10" s="16" customFormat="1" ht="24.6" thickBot="1" x14ac:dyDescent="0.3">
      <c r="A3" s="2"/>
      <c r="B3" s="26" t="s">
        <v>232</v>
      </c>
      <c r="C3" s="15" t="s">
        <v>247</v>
      </c>
      <c r="D3" s="30" t="s">
        <v>248</v>
      </c>
      <c r="E3" s="30" t="s">
        <v>249</v>
      </c>
      <c r="G3" s="40" t="s">
        <v>250</v>
      </c>
      <c r="H3" s="40" t="s">
        <v>251</v>
      </c>
      <c r="J3" s="39" t="s">
        <v>235</v>
      </c>
    </row>
    <row r="4" spans="1:10" s="16" customFormat="1" ht="12" customHeight="1" x14ac:dyDescent="0.2">
      <c r="A4" s="2"/>
      <c r="B4" s="16" t="s">
        <v>213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  <c r="J4" s="16" t="s">
        <v>234</v>
      </c>
    </row>
    <row r="5" spans="1:10" s="16" customFormat="1" ht="12" customHeight="1" x14ac:dyDescent="0.2">
      <c r="A5" s="2"/>
      <c r="B5" s="16" t="s">
        <v>63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">
      <c r="A6" s="2"/>
      <c r="B6" s="16" t="s">
        <v>215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225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">
      <c r="A8" s="2"/>
      <c r="B8" s="16" t="s">
        <v>224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226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">
      <c r="A10" s="2"/>
      <c r="B10" s="16" t="s">
        <v>227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">
      <c r="A11" s="2"/>
      <c r="B11" s="16" t="s">
        <v>214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">
      <c r="A12" s="2"/>
      <c r="B12" s="16" t="s">
        <v>216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">
      <c r="A13" s="2"/>
      <c r="B13" s="16" t="s">
        <v>217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">
      <c r="A14" s="2"/>
      <c r="B14" s="16" t="s">
        <v>218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">
      <c r="A15" s="2"/>
      <c r="B15" s="16" t="s">
        <v>71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">
      <c r="A16" s="2"/>
      <c r="B16" s="16" t="s">
        <v>64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228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">
      <c r="A18" s="2"/>
      <c r="B18" s="16" t="s">
        <v>69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229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">
      <c r="A20" s="2"/>
      <c r="B20" s="16" t="s">
        <v>219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">
      <c r="A21" s="2"/>
      <c r="B21" s="16" t="s">
        <v>220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230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">
      <c r="A23" s="2"/>
      <c r="B23" s="16" t="s">
        <v>221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231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">
      <c r="B26" s="45" t="s">
        <v>236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">
      <c r="B27" s="45" t="s">
        <v>237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">
      <c r="B28" s="45" t="s">
        <v>238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outlineLevel="1" x14ac:dyDescent="0.2">
      <c r="B32" s="18" t="s">
        <v>233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outlineLevel="1" x14ac:dyDescent="0.2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ColWidth="9.109375" defaultRowHeight="11.4" x14ac:dyDescent="0.2"/>
  <cols>
    <col min="1" max="1" width="2" style="2" customWidth="1"/>
    <col min="2" max="2" width="15.88671875" style="2" customWidth="1"/>
    <col min="3" max="16384" width="9.109375" style="2"/>
  </cols>
  <sheetData>
    <row r="1" spans="2:10" ht="15.6" x14ac:dyDescent="0.3">
      <c r="B1" s="3" t="s">
        <v>239</v>
      </c>
    </row>
    <row r="3" spans="2:10" ht="12.6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10" x14ac:dyDescent="0.2">
      <c r="B4" s="47" t="s">
        <v>213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10" x14ac:dyDescent="0.2">
      <c r="B5" s="47" t="s">
        <v>63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10" x14ac:dyDescent="0.2">
      <c r="B6" s="47" t="s">
        <v>215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10" x14ac:dyDescent="0.2">
      <c r="B7" s="47" t="s">
        <v>236</v>
      </c>
      <c r="C7" s="49">
        <f>'2.2 P&amp;L statement'!C26</f>
        <v>0.80329281353949789</v>
      </c>
      <c r="D7" s="49">
        <f>'2.2 P&amp;L statement'!D26</f>
        <v>0.79014052477841912</v>
      </c>
      <c r="E7" s="49">
        <f>'2.2 P&amp;L statement'!E26</f>
        <v>0.78437246085651935</v>
      </c>
    </row>
    <row r="12" spans="2:10" x14ac:dyDescent="0.2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="130" zoomScaleNormal="130" workbookViewId="0"/>
  </sheetViews>
  <sheetFormatPr defaultColWidth="9.109375" defaultRowHeight="11.4" x14ac:dyDescent="0.2"/>
  <cols>
    <col min="1" max="1" width="2" style="2" customWidth="1"/>
    <col min="2" max="2" width="18.6640625" style="2" bestFit="1" customWidth="1"/>
    <col min="3" max="16384" width="9.109375" style="2"/>
  </cols>
  <sheetData>
    <row r="1" spans="2:5" ht="15.6" x14ac:dyDescent="0.3">
      <c r="B1" s="3" t="s">
        <v>93</v>
      </c>
    </row>
    <row r="3" spans="2:5" ht="12.6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">
      <c r="B4" s="48" t="str">
        <f>'2.2 P&amp;L statement'!B4</f>
        <v>Net Sales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5" x14ac:dyDescent="0.2">
      <c r="B5" s="48" t="str">
        <f>'2.2 P&amp;L statement'!B5</f>
        <v>Other revenues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5" x14ac:dyDescent="0.2">
      <c r="B6" s="48" t="str">
        <f>'2.2 P&amp;L statement'!B6</f>
        <v>Recharges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5" x14ac:dyDescent="0.2">
      <c r="B7" s="47"/>
      <c r="C7" s="49"/>
      <c r="D7" s="49"/>
      <c r="E7" s="49"/>
    </row>
    <row r="8" spans="2:5" x14ac:dyDescent="0.2">
      <c r="B8" s="47"/>
      <c r="C8" s="47"/>
      <c r="D8" s="47"/>
      <c r="E8" s="4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zoomScale="120" zoomScaleNormal="120" workbookViewId="0">
      <selection activeCell="J17" sqref="J17"/>
    </sheetView>
  </sheetViews>
  <sheetFormatPr defaultColWidth="9.109375" defaultRowHeight="11.4" x14ac:dyDescent="0.2"/>
  <cols>
    <col min="1" max="1" width="2" style="2" customWidth="1"/>
    <col min="2" max="2" width="20.33203125" style="2" bestFit="1" customWidth="1"/>
    <col min="3" max="16384" width="9.109375" style="2"/>
  </cols>
  <sheetData>
    <row r="1" spans="2:5" ht="15.6" x14ac:dyDescent="0.3">
      <c r="B1" s="3" t="s">
        <v>241</v>
      </c>
    </row>
    <row r="3" spans="2:5" ht="12.6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">
      <c r="B4" s="47" t="s">
        <v>242</v>
      </c>
      <c r="C4" s="48">
        <v>22.515251444</v>
      </c>
      <c r="D4" s="48">
        <v>26.032605005000001</v>
      </c>
      <c r="E4" s="48">
        <v>26.314598263000001</v>
      </c>
    </row>
    <row r="5" spans="2:5" x14ac:dyDescent="0.2">
      <c r="B5" s="2" t="s">
        <v>236</v>
      </c>
      <c r="C5" s="50">
        <v>0.80329281353949789</v>
      </c>
      <c r="D5" s="50">
        <v>0.79014052477841912</v>
      </c>
      <c r="E5" s="50">
        <v>0.78437246085651935</v>
      </c>
    </row>
    <row r="6" spans="2:5" x14ac:dyDescent="0.2">
      <c r="C6" s="22"/>
      <c r="D6" s="22"/>
      <c r="E6" s="22"/>
    </row>
    <row r="7" spans="2:5" x14ac:dyDescent="0.2">
      <c r="C7" s="22"/>
      <c r="D7" s="22"/>
      <c r="E7" s="2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tabSelected="1" zoomScale="122" workbookViewId="0">
      <selection activeCell="I9" sqref="I9"/>
    </sheetView>
  </sheetViews>
  <sheetFormatPr defaultColWidth="9.109375" defaultRowHeight="11.4" x14ac:dyDescent="0.2"/>
  <cols>
    <col min="1" max="1" width="2" style="2" customWidth="1"/>
    <col min="2" max="2" width="21.44140625" style="2" bestFit="1" customWidth="1"/>
    <col min="3" max="3" width="11.33203125" style="48" customWidth="1"/>
    <col min="4" max="4" width="11.44140625" style="2" customWidth="1"/>
    <col min="5" max="5" width="9.33203125" style="2" customWidth="1"/>
    <col min="6" max="11" width="11.44140625" style="2" customWidth="1"/>
    <col min="12" max="16384" width="9.109375" style="2"/>
  </cols>
  <sheetData>
    <row r="1" spans="1:36" ht="15.6" x14ac:dyDescent="0.3">
      <c r="B1" s="3" t="s">
        <v>94</v>
      </c>
    </row>
    <row r="2" spans="1:36" x14ac:dyDescent="0.2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6" x14ac:dyDescent="0.2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6" x14ac:dyDescent="0.2">
      <c r="A4" s="57"/>
      <c r="B4" s="57" t="s">
        <v>255</v>
      </c>
      <c r="C4" s="57">
        <f>'2.2 P&amp;L statement'!D17</f>
        <v>4.2437563400000018</v>
      </c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36" x14ac:dyDescent="0.2">
      <c r="A5" s="57"/>
      <c r="B5" s="57" t="s">
        <v>243</v>
      </c>
      <c r="C5" s="57">
        <f>'2.2 P&amp;L statement'!E7-'2.2 P&amp;L statement'!D7</f>
        <v>0.28199325799999997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36" x14ac:dyDescent="0.2">
      <c r="A6" s="57"/>
      <c r="B6" s="57" t="s">
        <v>256</v>
      </c>
      <c r="C6" s="57">
        <f>'2.2 P&amp;L statement'!E8-'2.2 P&amp;L statement'!D8</f>
        <v>-0.21096324199999916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36" x14ac:dyDescent="0.2">
      <c r="A7" s="57"/>
      <c r="B7" s="57" t="s">
        <v>257</v>
      </c>
      <c r="C7" s="57">
        <f>SUM('2.2 P&amp;L statement'!E10:F16)-SUM('2.2 P&amp;L statement'!D10:D16)</f>
        <v>0.97571168500000027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36" x14ac:dyDescent="0.2">
      <c r="A8" s="57"/>
      <c r="B8" s="57" t="s">
        <v>258</v>
      </c>
      <c r="C8" s="57">
        <f>'2.2 P&amp;L statement'!E17</f>
        <v>5.2904980409999993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36" x14ac:dyDescent="0.2">
      <c r="A9" s="57"/>
      <c r="B9" s="57"/>
      <c r="C9" s="57"/>
      <c r="D9" s="57"/>
      <c r="E9" s="57"/>
      <c r="F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36" x14ac:dyDescent="0.2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36" x14ac:dyDescent="0.2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36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36" x14ac:dyDescent="0.2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36" x14ac:dyDescent="0.2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36" x14ac:dyDescent="0.2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36" x14ac:dyDescent="0.2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36" x14ac:dyDescent="0.2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36" x14ac:dyDescent="0.2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36" x14ac:dyDescent="0.2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36" x14ac:dyDescent="0.2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36" x14ac:dyDescent="0.2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36" x14ac:dyDescent="0.2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36" x14ac:dyDescent="0.2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</row>
    <row r="24" spans="1:36" x14ac:dyDescent="0.2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</row>
    <row r="25" spans="1:36" x14ac:dyDescent="0.2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</row>
    <row r="26" spans="1:36" x14ac:dyDescent="0.2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</row>
    <row r="27" spans="1:36" x14ac:dyDescent="0.2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</row>
    <row r="28" spans="1:36" x14ac:dyDescent="0.2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</row>
    <row r="29" spans="1:36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</row>
    <row r="30" spans="1:36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</row>
    <row r="31" spans="1:36" x14ac:dyDescent="0.2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</row>
    <row r="32" spans="1:36" x14ac:dyDescent="0.2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</row>
    <row r="33" spans="1:36" x14ac:dyDescent="0.2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</row>
    <row r="34" spans="1:36" x14ac:dyDescent="0.2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</row>
    <row r="35" spans="1:36" x14ac:dyDescent="0.2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</row>
    <row r="36" spans="1:36" x14ac:dyDescent="0.2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</row>
    <row r="37" spans="1:36" x14ac:dyDescent="0.2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</row>
    <row r="38" spans="1:36" x14ac:dyDescent="0.2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</row>
    <row r="39" spans="1:36" x14ac:dyDescent="0.2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</row>
    <row r="40" spans="1:36" x14ac:dyDescent="0.2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</row>
    <row r="41" spans="1:36" x14ac:dyDescent="0.2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</row>
    <row r="42" spans="1:36" x14ac:dyDescent="0.2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</row>
    <row r="43" spans="1:36" x14ac:dyDescent="0.2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</row>
    <row r="44" spans="1:36" x14ac:dyDescent="0.2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</row>
    <row r="45" spans="1:36" x14ac:dyDescent="0.2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</row>
    <row r="46" spans="1:36" x14ac:dyDescent="0.2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</row>
    <row r="47" spans="1:36" x14ac:dyDescent="0.2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</row>
    <row r="48" spans="1:36" x14ac:dyDescent="0.2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</row>
    <row r="49" spans="1:36" x14ac:dyDescent="0.2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</row>
    <row r="50" spans="1:36" x14ac:dyDescent="0.2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</row>
    <row r="51" spans="1:36" x14ac:dyDescent="0.2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</row>
    <row r="52" spans="1:36" x14ac:dyDescent="0.2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</row>
    <row r="53" spans="1:36" x14ac:dyDescent="0.2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</row>
    <row r="54" spans="1:36" x14ac:dyDescent="0.2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</row>
    <row r="55" spans="1:36" x14ac:dyDescent="0.2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</row>
    <row r="56" spans="1:36" x14ac:dyDescent="0.2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1:36" x14ac:dyDescent="0.2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1:36" x14ac:dyDescent="0.2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</row>
    <row r="59" spans="1:36" x14ac:dyDescent="0.2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</row>
    <row r="60" spans="1:36" x14ac:dyDescent="0.2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</row>
    <row r="61" spans="1:36" x14ac:dyDescent="0.2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</row>
    <row r="62" spans="1:36" x14ac:dyDescent="0.2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</row>
    <row r="63" spans="1:36" x14ac:dyDescent="0.2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1:36" x14ac:dyDescent="0.2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</row>
    <row r="65" spans="1:36" x14ac:dyDescent="0.2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</row>
    <row r="66" spans="1:36" x14ac:dyDescent="0.2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</row>
    <row r="67" spans="1:36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</row>
    <row r="68" spans="1:36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</row>
    <row r="69" spans="1:36" x14ac:dyDescent="0.2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</row>
    <row r="70" spans="1:36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</row>
    <row r="71" spans="1:36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</row>
    <row r="72" spans="1:36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</row>
    <row r="73" spans="1:36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</row>
    <row r="74" spans="1:36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</row>
    <row r="75" spans="1:36" x14ac:dyDescent="0.2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</row>
    <row r="76" spans="1:36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</row>
    <row r="77" spans="1:36" x14ac:dyDescent="0.2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</row>
    <row r="78" spans="1:36" x14ac:dyDescent="0.2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</row>
    <row r="79" spans="1:36" x14ac:dyDescent="0.2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</row>
    <row r="80" spans="1:36" x14ac:dyDescent="0.2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</row>
    <row r="81" spans="1:36" x14ac:dyDescent="0.2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</row>
    <row r="82" spans="1:36" x14ac:dyDescent="0.2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</row>
    <row r="83" spans="1:36" x14ac:dyDescent="0.2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</row>
    <row r="84" spans="1:36" x14ac:dyDescent="0.2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</row>
    <row r="85" spans="1:36" x14ac:dyDescent="0.2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</row>
    <row r="86" spans="1:36" x14ac:dyDescent="0.2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</row>
    <row r="87" spans="1:36" x14ac:dyDescent="0.2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</row>
    <row r="88" spans="1:36" x14ac:dyDescent="0.2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</row>
    <row r="89" spans="1:36" x14ac:dyDescent="0.2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</row>
    <row r="90" spans="1:36" x14ac:dyDescent="0.2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</row>
    <row r="91" spans="1:36" x14ac:dyDescent="0.2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</row>
    <row r="92" spans="1:36" x14ac:dyDescent="0.2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</row>
    <row r="93" spans="1:36" x14ac:dyDescent="0.2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</row>
    <row r="94" spans="1:36" x14ac:dyDescent="0.2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</row>
    <row r="95" spans="1:36" x14ac:dyDescent="0.2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</row>
    <row r="96" spans="1:36" x14ac:dyDescent="0.2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</row>
    <row r="97" spans="1:36" x14ac:dyDescent="0.2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</row>
    <row r="98" spans="1:36" x14ac:dyDescent="0.2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</row>
    <row r="99" spans="1:36" x14ac:dyDescent="0.2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</row>
    <row r="100" spans="1:36" x14ac:dyDescent="0.2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</row>
    <row r="101" spans="1:36" x14ac:dyDescent="0.2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</row>
    <row r="102" spans="1:36" x14ac:dyDescent="0.2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</row>
    <row r="103" spans="1:36" x14ac:dyDescent="0.2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</row>
    <row r="104" spans="1:36" x14ac:dyDescent="0.2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</row>
    <row r="105" spans="1:36" x14ac:dyDescent="0.2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</row>
    <row r="106" spans="1:36" x14ac:dyDescent="0.2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</row>
    <row r="107" spans="1:36" x14ac:dyDescent="0.2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</row>
    <row r="108" spans="1:36" x14ac:dyDescent="0.2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</row>
    <row r="109" spans="1:36" x14ac:dyDescent="0.2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</row>
    <row r="110" spans="1:36" x14ac:dyDescent="0.2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</row>
    <row r="111" spans="1:36" x14ac:dyDescent="0.2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</row>
    <row r="112" spans="1:36" x14ac:dyDescent="0.2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</row>
    <row r="113" spans="1:36" x14ac:dyDescent="0.2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</row>
    <row r="114" spans="1:36" x14ac:dyDescent="0.2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</row>
    <row r="115" spans="1:36" x14ac:dyDescent="0.2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</row>
    <row r="116" spans="1:36" x14ac:dyDescent="0.2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</row>
    <row r="117" spans="1:36" x14ac:dyDescent="0.2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</row>
    <row r="118" spans="1:36" x14ac:dyDescent="0.2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</row>
    <row r="119" spans="1:36" x14ac:dyDescent="0.2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</row>
    <row r="120" spans="1:36" x14ac:dyDescent="0.2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</row>
    <row r="121" spans="1:36" x14ac:dyDescent="0.2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</row>
    <row r="122" spans="1:36" x14ac:dyDescent="0.2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</row>
    <row r="123" spans="1:36" x14ac:dyDescent="0.2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</row>
    <row r="124" spans="1:36" x14ac:dyDescent="0.2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</row>
    <row r="125" spans="1:36" x14ac:dyDescent="0.2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</row>
    <row r="126" spans="1:36" x14ac:dyDescent="0.2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</row>
    <row r="127" spans="1:36" x14ac:dyDescent="0.2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</row>
    <row r="128" spans="1:36" x14ac:dyDescent="0.2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</row>
    <row r="129" spans="1:36" x14ac:dyDescent="0.2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</row>
    <row r="130" spans="1:36" x14ac:dyDescent="0.2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</row>
    <row r="131" spans="1:36" x14ac:dyDescent="0.2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</row>
    <row r="132" spans="1:36" x14ac:dyDescent="0.2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</row>
    <row r="133" spans="1:36" x14ac:dyDescent="0.2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</row>
    <row r="134" spans="1:36" x14ac:dyDescent="0.2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</row>
    <row r="135" spans="1:36" x14ac:dyDescent="0.2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</row>
    <row r="136" spans="1:36" x14ac:dyDescent="0.2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</row>
    <row r="137" spans="1:36" x14ac:dyDescent="0.2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</row>
    <row r="138" spans="1:36" x14ac:dyDescent="0.2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</row>
    <row r="139" spans="1:36" x14ac:dyDescent="0.2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</row>
    <row r="140" spans="1:36" x14ac:dyDescent="0.2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</row>
    <row r="141" spans="1:36" x14ac:dyDescent="0.2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</row>
    <row r="142" spans="1:36" x14ac:dyDescent="0.2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</row>
    <row r="143" spans="1:36" x14ac:dyDescent="0.2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</row>
    <row r="144" spans="1:36" x14ac:dyDescent="0.2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</row>
    <row r="145" spans="1:36" x14ac:dyDescent="0.2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</row>
    <row r="146" spans="1:36" x14ac:dyDescent="0.2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</row>
    <row r="147" spans="1:36" x14ac:dyDescent="0.2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</row>
    <row r="148" spans="1:36" x14ac:dyDescent="0.2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</row>
    <row r="149" spans="1:36" x14ac:dyDescent="0.2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</row>
    <row r="150" spans="1:36" x14ac:dyDescent="0.2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</row>
    <row r="151" spans="1:36" x14ac:dyDescent="0.2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</row>
    <row r="152" spans="1:36" x14ac:dyDescent="0.2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</row>
    <row r="153" spans="1:36" x14ac:dyDescent="0.2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</row>
    <row r="154" spans="1:36" x14ac:dyDescent="0.2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</row>
    <row r="155" spans="1:36" x14ac:dyDescent="0.2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</row>
    <row r="156" spans="1:36" x14ac:dyDescent="0.2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</row>
    <row r="157" spans="1:36" x14ac:dyDescent="0.2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</row>
    <row r="158" spans="1:36" x14ac:dyDescent="0.2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</row>
    <row r="159" spans="1:36" x14ac:dyDescent="0.2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</row>
    <row r="160" spans="1:36" x14ac:dyDescent="0.2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</row>
    <row r="161" spans="1:36" x14ac:dyDescent="0.2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</row>
    <row r="162" spans="1:36" x14ac:dyDescent="0.2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</row>
    <row r="163" spans="1:36" x14ac:dyDescent="0.2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</row>
    <row r="164" spans="1:36" x14ac:dyDescent="0.2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</row>
    <row r="165" spans="1:36" x14ac:dyDescent="0.2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</row>
    <row r="166" spans="1:36" x14ac:dyDescent="0.2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</row>
    <row r="167" spans="1:36" x14ac:dyDescent="0.2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</row>
    <row r="168" spans="1:36" x14ac:dyDescent="0.2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</row>
    <row r="169" spans="1:36" x14ac:dyDescent="0.2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</row>
    <row r="170" spans="1:36" x14ac:dyDescent="0.2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</row>
    <row r="171" spans="1:36" x14ac:dyDescent="0.2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</row>
    <row r="172" spans="1:36" x14ac:dyDescent="0.2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</row>
    <row r="173" spans="1:36" x14ac:dyDescent="0.2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</row>
    <row r="174" spans="1:36" x14ac:dyDescent="0.2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</row>
    <row r="175" spans="1:36" x14ac:dyDescent="0.2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</row>
    <row r="176" spans="1:36" x14ac:dyDescent="0.2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</row>
    <row r="177" spans="1:36" x14ac:dyDescent="0.2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</row>
    <row r="178" spans="1:36" x14ac:dyDescent="0.2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</row>
    <row r="179" spans="1:36" x14ac:dyDescent="0.2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</row>
    <row r="180" spans="1:36" x14ac:dyDescent="0.2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</row>
    <row r="181" spans="1:36" x14ac:dyDescent="0.2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</row>
    <row r="182" spans="1:36" x14ac:dyDescent="0.2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</row>
    <row r="183" spans="1:36" x14ac:dyDescent="0.2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</row>
    <row r="184" spans="1:36" x14ac:dyDescent="0.2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</row>
    <row r="185" spans="1:36" x14ac:dyDescent="0.2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</row>
    <row r="186" spans="1:36" x14ac:dyDescent="0.2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</row>
    <row r="187" spans="1:36" x14ac:dyDescent="0.2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</row>
    <row r="188" spans="1:36" x14ac:dyDescent="0.2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</row>
    <row r="189" spans="1:36" x14ac:dyDescent="0.2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</row>
    <row r="190" spans="1:36" x14ac:dyDescent="0.2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</row>
    <row r="191" spans="1:36" x14ac:dyDescent="0.2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</row>
    <row r="192" spans="1:36" x14ac:dyDescent="0.2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</row>
    <row r="193" spans="1:36" x14ac:dyDescent="0.2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</row>
    <row r="194" spans="1:36" x14ac:dyDescent="0.2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</row>
    <row r="195" spans="1:36" x14ac:dyDescent="0.2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</row>
    <row r="196" spans="1:36" x14ac:dyDescent="0.2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</row>
    <row r="197" spans="1:36" x14ac:dyDescent="0.2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</row>
    <row r="198" spans="1:36" x14ac:dyDescent="0.2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</row>
    <row r="199" spans="1:36" x14ac:dyDescent="0.2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</row>
    <row r="200" spans="1:36" x14ac:dyDescent="0.2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</row>
    <row r="201" spans="1:36" x14ac:dyDescent="0.2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</row>
    <row r="202" spans="1:36" x14ac:dyDescent="0.2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</row>
    <row r="203" spans="1:36" x14ac:dyDescent="0.2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</row>
    <row r="204" spans="1:36" x14ac:dyDescent="0.2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</row>
    <row r="205" spans="1:36" x14ac:dyDescent="0.2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</row>
    <row r="206" spans="1:36" x14ac:dyDescent="0.2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</row>
    <row r="207" spans="1:36" x14ac:dyDescent="0.2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</row>
    <row r="208" spans="1:36" x14ac:dyDescent="0.2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</row>
    <row r="209" spans="1:36" x14ac:dyDescent="0.2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</row>
    <row r="210" spans="1:36" x14ac:dyDescent="0.2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</row>
    <row r="211" spans="1:36" x14ac:dyDescent="0.2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</row>
    <row r="212" spans="1:36" x14ac:dyDescent="0.2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</row>
    <row r="213" spans="1:36" x14ac:dyDescent="0.2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</row>
    <row r="214" spans="1:36" x14ac:dyDescent="0.2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</row>
    <row r="215" spans="1:36" x14ac:dyDescent="0.2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</row>
    <row r="216" spans="1:36" x14ac:dyDescent="0.2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</row>
    <row r="217" spans="1:36" x14ac:dyDescent="0.2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</row>
    <row r="218" spans="1:36" x14ac:dyDescent="0.2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</row>
    <row r="219" spans="1:36" x14ac:dyDescent="0.2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</row>
    <row r="220" spans="1:36" x14ac:dyDescent="0.2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</row>
    <row r="221" spans="1:36" x14ac:dyDescent="0.2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</row>
    <row r="222" spans="1:36" x14ac:dyDescent="0.2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</row>
    <row r="223" spans="1:36" x14ac:dyDescent="0.2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</row>
    <row r="224" spans="1:36" x14ac:dyDescent="0.2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</row>
    <row r="225" spans="1:36" x14ac:dyDescent="0.2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</row>
    <row r="226" spans="1:36" x14ac:dyDescent="0.2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</row>
    <row r="227" spans="1:36" x14ac:dyDescent="0.2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</row>
    <row r="228" spans="1:36" x14ac:dyDescent="0.2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</row>
    <row r="229" spans="1:36" x14ac:dyDescent="0.2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</row>
    <row r="230" spans="1:36" x14ac:dyDescent="0.2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</row>
    <row r="231" spans="1:36" x14ac:dyDescent="0.2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</row>
    <row r="232" spans="1:36" x14ac:dyDescent="0.2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</row>
    <row r="233" spans="1:36" x14ac:dyDescent="0.2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</row>
    <row r="234" spans="1:36" x14ac:dyDescent="0.2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</row>
    <row r="235" spans="1:36" x14ac:dyDescent="0.2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</row>
    <row r="236" spans="1:36" x14ac:dyDescent="0.2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</row>
    <row r="237" spans="1:36" x14ac:dyDescent="0.2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</row>
    <row r="238" spans="1:36" x14ac:dyDescent="0.2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</row>
    <row r="239" spans="1:36" x14ac:dyDescent="0.2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</row>
    <row r="240" spans="1:36" x14ac:dyDescent="0.2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</row>
    <row r="241" spans="1:36" x14ac:dyDescent="0.2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</row>
    <row r="242" spans="1:36" x14ac:dyDescent="0.2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</row>
    <row r="243" spans="1:36" x14ac:dyDescent="0.2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</row>
    <row r="244" spans="1:36" x14ac:dyDescent="0.2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</row>
    <row r="245" spans="1:36" x14ac:dyDescent="0.2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</row>
    <row r="246" spans="1:36" x14ac:dyDescent="0.2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</row>
    <row r="247" spans="1:36" x14ac:dyDescent="0.2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</row>
    <row r="248" spans="1:36" x14ac:dyDescent="0.2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</row>
    <row r="249" spans="1:36" x14ac:dyDescent="0.2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</row>
    <row r="250" spans="1:36" x14ac:dyDescent="0.2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</row>
    <row r="251" spans="1:36" x14ac:dyDescent="0.2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</row>
    <row r="252" spans="1:36" x14ac:dyDescent="0.2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</row>
    <row r="253" spans="1:36" x14ac:dyDescent="0.2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</row>
    <row r="254" spans="1:36" x14ac:dyDescent="0.2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</row>
    <row r="255" spans="1:36" x14ac:dyDescent="0.2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</row>
    <row r="256" spans="1:36" x14ac:dyDescent="0.2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</row>
    <row r="257" spans="1:36" x14ac:dyDescent="0.2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</row>
    <row r="258" spans="1:36" x14ac:dyDescent="0.2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</row>
    <row r="259" spans="1:36" x14ac:dyDescent="0.2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</row>
    <row r="260" spans="1:36" x14ac:dyDescent="0.2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</row>
    <row r="261" spans="1:36" x14ac:dyDescent="0.2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</row>
    <row r="262" spans="1:36" x14ac:dyDescent="0.2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</row>
    <row r="263" spans="1:36" x14ac:dyDescent="0.2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</row>
    <row r="264" spans="1:36" x14ac:dyDescent="0.2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</row>
    <row r="265" spans="1:36" x14ac:dyDescent="0.2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</row>
    <row r="266" spans="1:36" x14ac:dyDescent="0.2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</row>
    <row r="267" spans="1:36" x14ac:dyDescent="0.2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</row>
    <row r="268" spans="1:36" x14ac:dyDescent="0.2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</row>
    <row r="269" spans="1:36" x14ac:dyDescent="0.2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</row>
    <row r="270" spans="1:36" x14ac:dyDescent="0.2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</row>
    <row r="271" spans="1:36" x14ac:dyDescent="0.2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</row>
    <row r="272" spans="1:36" x14ac:dyDescent="0.2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</row>
    <row r="273" spans="1:36" x14ac:dyDescent="0.2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</row>
    <row r="274" spans="1:36" x14ac:dyDescent="0.2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</row>
    <row r="275" spans="1:36" x14ac:dyDescent="0.2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</row>
    <row r="276" spans="1:36" x14ac:dyDescent="0.2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</row>
    <row r="277" spans="1:36" x14ac:dyDescent="0.2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</row>
    <row r="278" spans="1:36" x14ac:dyDescent="0.2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</row>
    <row r="279" spans="1:36" x14ac:dyDescent="0.2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</row>
    <row r="280" spans="1:36" x14ac:dyDescent="0.2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</row>
    <row r="281" spans="1:36" x14ac:dyDescent="0.2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</row>
    <row r="282" spans="1:36" x14ac:dyDescent="0.2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</row>
    <row r="283" spans="1:36" x14ac:dyDescent="0.2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</row>
    <row r="284" spans="1:36" x14ac:dyDescent="0.2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</row>
    <row r="285" spans="1:36" x14ac:dyDescent="0.2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</row>
    <row r="286" spans="1:36" x14ac:dyDescent="0.2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</row>
    <row r="287" spans="1:36" x14ac:dyDescent="0.2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</row>
    <row r="288" spans="1:36" x14ac:dyDescent="0.2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</row>
    <row r="289" spans="1:36" x14ac:dyDescent="0.2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</row>
    <row r="290" spans="1:36" x14ac:dyDescent="0.2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</row>
    <row r="291" spans="1:36" x14ac:dyDescent="0.2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</row>
    <row r="292" spans="1:36" x14ac:dyDescent="0.2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</row>
    <row r="293" spans="1:36" x14ac:dyDescent="0.2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</row>
    <row r="294" spans="1:36" x14ac:dyDescent="0.2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</row>
    <row r="295" spans="1:36" x14ac:dyDescent="0.2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</row>
    <row r="296" spans="1:36" x14ac:dyDescent="0.2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</row>
    <row r="297" spans="1:36" x14ac:dyDescent="0.2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</row>
    <row r="298" spans="1:36" x14ac:dyDescent="0.2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</row>
    <row r="299" spans="1:36" x14ac:dyDescent="0.2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</row>
    <row r="300" spans="1:36" x14ac:dyDescent="0.2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</row>
    <row r="301" spans="1:36" x14ac:dyDescent="0.2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</row>
    <row r="302" spans="1:36" x14ac:dyDescent="0.2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</row>
    <row r="303" spans="1:36" x14ac:dyDescent="0.2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</row>
    <row r="304" spans="1:36" x14ac:dyDescent="0.2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</row>
    <row r="305" spans="1:36" x14ac:dyDescent="0.2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</row>
    <row r="306" spans="1:36" x14ac:dyDescent="0.2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</row>
    <row r="307" spans="1:36" x14ac:dyDescent="0.2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</row>
    <row r="308" spans="1:36" x14ac:dyDescent="0.2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</row>
    <row r="309" spans="1:36" x14ac:dyDescent="0.2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</row>
    <row r="310" spans="1:36" x14ac:dyDescent="0.2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</row>
    <row r="311" spans="1:36" x14ac:dyDescent="0.2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</row>
    <row r="312" spans="1:36" x14ac:dyDescent="0.2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</row>
    <row r="313" spans="1:36" x14ac:dyDescent="0.2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</row>
    <row r="314" spans="1:36" x14ac:dyDescent="0.2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</row>
    <row r="315" spans="1:36" x14ac:dyDescent="0.2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</row>
    <row r="316" spans="1:36" x14ac:dyDescent="0.2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</row>
    <row r="317" spans="1:36" x14ac:dyDescent="0.2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</row>
    <row r="318" spans="1:36" x14ac:dyDescent="0.2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</row>
    <row r="319" spans="1:36" x14ac:dyDescent="0.2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</row>
    <row r="320" spans="1:36" x14ac:dyDescent="0.2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</row>
    <row r="321" spans="1:36" x14ac:dyDescent="0.2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</row>
    <row r="322" spans="1:36" x14ac:dyDescent="0.2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</row>
    <row r="323" spans="1:36" x14ac:dyDescent="0.2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</row>
    <row r="324" spans="1:36" x14ac:dyDescent="0.2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</row>
    <row r="325" spans="1:36" x14ac:dyDescent="0.2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</row>
    <row r="326" spans="1:36" x14ac:dyDescent="0.2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</row>
    <row r="327" spans="1:36" x14ac:dyDescent="0.2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</row>
    <row r="328" spans="1:36" x14ac:dyDescent="0.2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</row>
    <row r="329" spans="1:36" x14ac:dyDescent="0.2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</row>
    <row r="330" spans="1:36" x14ac:dyDescent="0.2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</row>
    <row r="331" spans="1:36" x14ac:dyDescent="0.2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</row>
    <row r="332" spans="1:36" x14ac:dyDescent="0.2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</row>
    <row r="333" spans="1:36" x14ac:dyDescent="0.2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</row>
    <row r="334" spans="1:36" x14ac:dyDescent="0.2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</row>
    <row r="335" spans="1:36" x14ac:dyDescent="0.2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</row>
    <row r="336" spans="1:36" x14ac:dyDescent="0.2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</row>
    <row r="337" spans="1:36" x14ac:dyDescent="0.2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</row>
    <row r="338" spans="1:36" x14ac:dyDescent="0.2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</row>
    <row r="339" spans="1:36" x14ac:dyDescent="0.2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</row>
    <row r="340" spans="1:36" x14ac:dyDescent="0.2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</row>
    <row r="341" spans="1:36" x14ac:dyDescent="0.2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</row>
    <row r="342" spans="1:36" x14ac:dyDescent="0.2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</row>
    <row r="343" spans="1:36" x14ac:dyDescent="0.2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</row>
    <row r="344" spans="1:36" x14ac:dyDescent="0.2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</row>
    <row r="345" spans="1:36" x14ac:dyDescent="0.2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</row>
    <row r="346" spans="1:36" x14ac:dyDescent="0.2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</row>
    <row r="347" spans="1:36" x14ac:dyDescent="0.2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</row>
    <row r="348" spans="1:36" x14ac:dyDescent="0.2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</row>
    <row r="349" spans="1:36" x14ac:dyDescent="0.2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</row>
    <row r="350" spans="1:36" x14ac:dyDescent="0.2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</row>
    <row r="351" spans="1:36" x14ac:dyDescent="0.2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</row>
    <row r="352" spans="1:36" x14ac:dyDescent="0.2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</row>
    <row r="353" spans="1:36" x14ac:dyDescent="0.2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</row>
    <row r="354" spans="1:36" x14ac:dyDescent="0.2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</row>
    <row r="355" spans="1:36" x14ac:dyDescent="0.2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</row>
    <row r="356" spans="1:36" x14ac:dyDescent="0.2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</row>
    <row r="357" spans="1:36" x14ac:dyDescent="0.2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</row>
    <row r="358" spans="1:36" x14ac:dyDescent="0.2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</row>
    <row r="359" spans="1:36" x14ac:dyDescent="0.2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</row>
    <row r="360" spans="1:36" x14ac:dyDescent="0.2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</row>
    <row r="361" spans="1:36" x14ac:dyDescent="0.2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</row>
    <row r="362" spans="1:36" x14ac:dyDescent="0.2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</row>
    <row r="363" spans="1:36" x14ac:dyDescent="0.2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</row>
    <row r="364" spans="1:36" x14ac:dyDescent="0.2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</row>
    <row r="365" spans="1:36" x14ac:dyDescent="0.2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</row>
    <row r="366" spans="1:36" x14ac:dyDescent="0.2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</row>
    <row r="367" spans="1:36" x14ac:dyDescent="0.2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</row>
    <row r="368" spans="1:36" x14ac:dyDescent="0.2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</row>
    <row r="369" spans="1:36" x14ac:dyDescent="0.2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</row>
    <row r="370" spans="1:36" x14ac:dyDescent="0.2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</row>
    <row r="371" spans="1:36" x14ac:dyDescent="0.2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</row>
    <row r="372" spans="1:36" x14ac:dyDescent="0.2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</row>
    <row r="373" spans="1:36" x14ac:dyDescent="0.2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</row>
    <row r="374" spans="1:36" x14ac:dyDescent="0.2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</row>
    <row r="375" spans="1:36" x14ac:dyDescent="0.2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</row>
    <row r="376" spans="1:36" x14ac:dyDescent="0.2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</row>
    <row r="377" spans="1:36" x14ac:dyDescent="0.2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</row>
    <row r="378" spans="1:36" x14ac:dyDescent="0.2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</row>
    <row r="379" spans="1:36" x14ac:dyDescent="0.2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</row>
    <row r="380" spans="1:36" x14ac:dyDescent="0.2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</row>
    <row r="381" spans="1:36" x14ac:dyDescent="0.2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</row>
    <row r="382" spans="1:36" x14ac:dyDescent="0.2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</row>
    <row r="383" spans="1:36" x14ac:dyDescent="0.2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</row>
    <row r="384" spans="1:36" x14ac:dyDescent="0.2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</row>
    <row r="385" spans="1:36" x14ac:dyDescent="0.2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</row>
    <row r="386" spans="1:36" x14ac:dyDescent="0.2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</row>
    <row r="387" spans="1:36" x14ac:dyDescent="0.2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</row>
    <row r="388" spans="1:36" x14ac:dyDescent="0.2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</row>
    <row r="389" spans="1:36" x14ac:dyDescent="0.2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</row>
    <row r="390" spans="1:36" x14ac:dyDescent="0.2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</row>
    <row r="391" spans="1:36" x14ac:dyDescent="0.2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</row>
    <row r="392" spans="1:36" x14ac:dyDescent="0.2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</row>
    <row r="393" spans="1:36" x14ac:dyDescent="0.2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</row>
    <row r="394" spans="1:36" x14ac:dyDescent="0.2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</row>
    <row r="395" spans="1:36" x14ac:dyDescent="0.2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</row>
    <row r="396" spans="1:36" x14ac:dyDescent="0.2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</row>
    <row r="397" spans="1:36" x14ac:dyDescent="0.2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</row>
    <row r="398" spans="1:36" x14ac:dyDescent="0.2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</row>
    <row r="399" spans="1:36" x14ac:dyDescent="0.2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</row>
    <row r="400" spans="1:36" x14ac:dyDescent="0.2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</row>
    <row r="401" spans="1:36" x14ac:dyDescent="0.2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</row>
    <row r="402" spans="1:36" x14ac:dyDescent="0.2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</row>
    <row r="403" spans="1:36" x14ac:dyDescent="0.2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</row>
    <row r="404" spans="1:36" x14ac:dyDescent="0.2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</row>
    <row r="405" spans="1:36" x14ac:dyDescent="0.2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</row>
    <row r="406" spans="1:36" x14ac:dyDescent="0.2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</row>
    <row r="407" spans="1:36" x14ac:dyDescent="0.2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</row>
    <row r="408" spans="1:36" x14ac:dyDescent="0.2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</row>
    <row r="409" spans="1:36" x14ac:dyDescent="0.2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</row>
    <row r="410" spans="1:36" x14ac:dyDescent="0.2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</row>
    <row r="411" spans="1:36" x14ac:dyDescent="0.2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</row>
    <row r="412" spans="1:36" x14ac:dyDescent="0.2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</row>
    <row r="413" spans="1:36" x14ac:dyDescent="0.2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</row>
    <row r="414" spans="1:36" x14ac:dyDescent="0.2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</row>
    <row r="415" spans="1:36" x14ac:dyDescent="0.2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</row>
    <row r="416" spans="1:36" x14ac:dyDescent="0.2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</row>
    <row r="417" spans="1:36" x14ac:dyDescent="0.2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</row>
    <row r="418" spans="1:36" x14ac:dyDescent="0.2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</row>
    <row r="419" spans="1:36" x14ac:dyDescent="0.2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</row>
    <row r="420" spans="1:36" x14ac:dyDescent="0.2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</row>
    <row r="421" spans="1:36" x14ac:dyDescent="0.2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</row>
    <row r="422" spans="1:36" x14ac:dyDescent="0.2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</row>
    <row r="423" spans="1:36" x14ac:dyDescent="0.2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</row>
    <row r="424" spans="1:36" x14ac:dyDescent="0.2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</row>
    <row r="425" spans="1:36" x14ac:dyDescent="0.2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</row>
    <row r="426" spans="1:36" x14ac:dyDescent="0.2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</row>
    <row r="427" spans="1:36" x14ac:dyDescent="0.2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</row>
    <row r="428" spans="1:36" x14ac:dyDescent="0.2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</row>
    <row r="429" spans="1:36" x14ac:dyDescent="0.2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</row>
    <row r="430" spans="1:36" x14ac:dyDescent="0.2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</row>
    <row r="431" spans="1:36" x14ac:dyDescent="0.2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</row>
    <row r="432" spans="1:36" x14ac:dyDescent="0.2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</row>
    <row r="433" spans="1:36" x14ac:dyDescent="0.2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</row>
    <row r="434" spans="1:36" x14ac:dyDescent="0.2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</row>
    <row r="435" spans="1:36" x14ac:dyDescent="0.2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</row>
    <row r="436" spans="1:36" x14ac:dyDescent="0.2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</row>
    <row r="437" spans="1:36" x14ac:dyDescent="0.2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</row>
    <row r="438" spans="1:36" x14ac:dyDescent="0.2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</row>
    <row r="439" spans="1:36" x14ac:dyDescent="0.2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</row>
    <row r="440" spans="1:36" x14ac:dyDescent="0.2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</row>
    <row r="441" spans="1:36" x14ac:dyDescent="0.2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</row>
    <row r="442" spans="1:36" x14ac:dyDescent="0.2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</row>
    <row r="443" spans="1:36" x14ac:dyDescent="0.2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</row>
    <row r="444" spans="1:36" x14ac:dyDescent="0.2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</row>
    <row r="445" spans="1:36" x14ac:dyDescent="0.2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</row>
    <row r="446" spans="1:36" x14ac:dyDescent="0.2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</row>
    <row r="447" spans="1:36" x14ac:dyDescent="0.2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</row>
    <row r="448" spans="1:36" x14ac:dyDescent="0.2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</row>
    <row r="449" spans="1:36" x14ac:dyDescent="0.2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</row>
    <row r="450" spans="1:36" x14ac:dyDescent="0.2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</row>
    <row r="451" spans="1:36" x14ac:dyDescent="0.2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</row>
    <row r="452" spans="1:36" x14ac:dyDescent="0.2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</row>
    <row r="453" spans="1:36" x14ac:dyDescent="0.2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</row>
    <row r="454" spans="1:36" x14ac:dyDescent="0.2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</row>
    <row r="455" spans="1:36" x14ac:dyDescent="0.2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</row>
    <row r="456" spans="1:36" x14ac:dyDescent="0.2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</row>
    <row r="457" spans="1:36" x14ac:dyDescent="0.2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</row>
    <row r="458" spans="1:36" x14ac:dyDescent="0.2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</row>
    <row r="459" spans="1:36" x14ac:dyDescent="0.2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</row>
    <row r="460" spans="1:36" x14ac:dyDescent="0.2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</row>
    <row r="461" spans="1:36" x14ac:dyDescent="0.2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</row>
    <row r="462" spans="1:36" x14ac:dyDescent="0.2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</row>
    <row r="463" spans="1:36" x14ac:dyDescent="0.2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</row>
    <row r="464" spans="1:36" x14ac:dyDescent="0.2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</row>
    <row r="465" spans="1:36" x14ac:dyDescent="0.2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</row>
    <row r="466" spans="1:36" x14ac:dyDescent="0.2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</row>
    <row r="467" spans="1:36" x14ac:dyDescent="0.2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</row>
    <row r="468" spans="1:36" x14ac:dyDescent="0.2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</row>
    <row r="469" spans="1:36" x14ac:dyDescent="0.2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</row>
    <row r="470" spans="1:36" x14ac:dyDescent="0.2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</row>
    <row r="471" spans="1:36" x14ac:dyDescent="0.2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</row>
    <row r="472" spans="1:36" x14ac:dyDescent="0.2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</row>
    <row r="473" spans="1:36" x14ac:dyDescent="0.2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</row>
    <row r="474" spans="1:36" x14ac:dyDescent="0.2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</row>
    <row r="475" spans="1:36" x14ac:dyDescent="0.2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</row>
    <row r="476" spans="1:36" x14ac:dyDescent="0.2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</row>
    <row r="477" spans="1:36" x14ac:dyDescent="0.2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</row>
    <row r="478" spans="1:36" x14ac:dyDescent="0.2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</row>
    <row r="479" spans="1:36" x14ac:dyDescent="0.2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</row>
    <row r="480" spans="1:36" x14ac:dyDescent="0.2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</row>
    <row r="481" spans="1:36" x14ac:dyDescent="0.2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</row>
    <row r="482" spans="1:36" x14ac:dyDescent="0.2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</row>
    <row r="1048567" spans="2:16" x14ac:dyDescent="0.2">
      <c r="B1048567" s="51"/>
      <c r="C1048567" s="52"/>
      <c r="D1048567" s="51"/>
      <c r="E1048567" s="51"/>
      <c r="F1048567" s="51"/>
      <c r="G1048567" s="51"/>
      <c r="H1048567" s="51"/>
      <c r="I1048567" s="51"/>
      <c r="J1048567" s="51"/>
      <c r="K1048567" s="51"/>
      <c r="L1048567" s="51"/>
      <c r="M1048567" s="51"/>
      <c r="N1048567" s="51"/>
      <c r="O1048567" s="51"/>
      <c r="P1048567" s="51"/>
    </row>
    <row r="1048568" spans="2:16" x14ac:dyDescent="0.2">
      <c r="B1048568" s="53" t="e">
        <f>#REF!</f>
        <v>#REF!</v>
      </c>
      <c r="C1048568" s="53" t="e">
        <f>B1048568</f>
        <v>#REF!</v>
      </c>
      <c r="D1048568" s="52" t="e">
        <f>C1048568+C1048569+#REF!</f>
        <v>#REF!</v>
      </c>
      <c r="E1048568" s="52" t="e">
        <f>D1048568</f>
        <v>#REF!</v>
      </c>
      <c r="F1048568" s="51"/>
      <c r="G1048568" s="51"/>
      <c r="H1048568" s="51"/>
      <c r="I1048568" s="51"/>
      <c r="J1048568" s="51"/>
      <c r="K1048568" s="51"/>
      <c r="L1048568" s="51"/>
      <c r="M1048568" s="51"/>
      <c r="N1048568" s="51"/>
      <c r="O1048568" s="51"/>
      <c r="P1048568" s="51"/>
    </row>
    <row r="1048569" spans="2:16" x14ac:dyDescent="0.2">
      <c r="B1048569" s="54">
        <v>0</v>
      </c>
      <c r="C1048569" s="53" t="e">
        <f>#REF!</f>
        <v>#REF!</v>
      </c>
      <c r="D1048569" s="52" t="e">
        <f>-#REF!</f>
        <v>#REF!</v>
      </c>
      <c r="E1048569" s="52" t="e">
        <f>#REF!</f>
        <v>#REF!</v>
      </c>
      <c r="F1048569" s="52" t="e">
        <f>E1048569+E1048568</f>
        <v>#REF!</v>
      </c>
      <c r="G1048569" s="51"/>
      <c r="H1048569" s="51"/>
      <c r="I1048569" s="51"/>
      <c r="J1048569" s="51"/>
      <c r="K1048569" s="51"/>
      <c r="L1048569" s="51"/>
      <c r="M1048569" s="51"/>
      <c r="N1048569" s="51"/>
      <c r="O1048569" s="51"/>
      <c r="P1048569" s="51"/>
    </row>
    <row r="1048570" spans="2:16" x14ac:dyDescent="0.2">
      <c r="B1048570" s="51"/>
      <c r="C1048570" s="51"/>
      <c r="D1048570" s="51"/>
      <c r="E1048570" s="51"/>
      <c r="F1048570" s="51"/>
      <c r="G1048570" s="51"/>
      <c r="H1048570" s="51"/>
      <c r="I1048570" s="51"/>
      <c r="J1048570" s="51"/>
      <c r="K1048570" s="51"/>
      <c r="L1048570" s="51"/>
      <c r="M1048570" s="51"/>
      <c r="N1048570" s="51"/>
      <c r="O1048570" s="51"/>
      <c r="P1048570" s="51"/>
    </row>
    <row r="1048571" spans="2:16" ht="22.8" x14ac:dyDescent="0.2">
      <c r="B1048571" s="55" t="s">
        <v>245</v>
      </c>
      <c r="C1048571" s="56" t="s">
        <v>243</v>
      </c>
      <c r="D1048571" s="56" t="e">
        <f>#REF!</f>
        <v>#REF!</v>
      </c>
      <c r="E1048571" s="56" t="s">
        <v>246</v>
      </c>
      <c r="F1048571" s="51" t="s">
        <v>244</v>
      </c>
      <c r="G1048571" s="51"/>
      <c r="H1048571" s="51"/>
      <c r="I1048571" s="51"/>
      <c r="J1048571" s="51"/>
      <c r="K1048571" s="51"/>
      <c r="L1048571" s="51"/>
      <c r="M1048571" s="51"/>
      <c r="N1048571" s="51"/>
      <c r="O1048571" s="51"/>
      <c r="P1048571" s="51"/>
    </row>
    <row r="1048572" spans="2:16" x14ac:dyDescent="0.2">
      <c r="B1048572" s="51"/>
      <c r="C1048572" s="52"/>
    </row>
    <row r="1048573" spans="2:16" x14ac:dyDescent="0.2">
      <c r="B1048573" s="51"/>
      <c r="C1048573" s="52"/>
    </row>
    <row r="1048574" spans="2:16" x14ac:dyDescent="0.2">
      <c r="B1048574" s="51"/>
      <c r="C1048574" s="52"/>
    </row>
    <row r="1048575" spans="2:16" x14ac:dyDescent="0.2">
      <c r="B1048575" s="51"/>
      <c r="C1048575" s="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2025-09-10T00:50:39Z</dcterms:modified>
</cp:coreProperties>
</file>