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22E68647-3C60-695B-3CA0-4895CD717B8A}"/>
  <workbookPr filterPrivacy="1" codeName="ThisWorkbook" defaultThemeVersion="124226"/>
  <xr:revisionPtr revIDLastSave="0" documentId="13_ncr:1_{0D9EDAD1-72A3-458B-A4C4-A96A6A665670}" xr6:coauthVersionLast="47" xr6:coauthVersionMax="47" xr10:uidLastSave="{00000000-0000-0000-0000-000000000000}"/>
  <bookViews>
    <workbookView xWindow="-108" yWindow="-108" windowWidth="23256" windowHeight="12456" firstSheet="3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0" l="1"/>
  <c r="E4" i="10"/>
  <c r="D5" i="10"/>
  <c r="E5" i="10"/>
  <c r="D6" i="10"/>
  <c r="E6" i="10"/>
  <c r="D7" i="10"/>
  <c r="E7" i="10"/>
  <c r="D8" i="10"/>
  <c r="E8" i="10"/>
  <c r="D9" i="10"/>
  <c r="E9" i="10"/>
  <c r="D10" i="10"/>
  <c r="E10" i="10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/>
  <c r="D18" i="10"/>
  <c r="E18" i="10"/>
  <c r="D19" i="10"/>
  <c r="E19" i="10"/>
  <c r="D20" i="10"/>
  <c r="E20" i="10"/>
  <c r="D21" i="10"/>
  <c r="E21" i="10"/>
  <c r="D22" i="10"/>
  <c r="E22" i="10"/>
  <c r="D23" i="10"/>
  <c r="E23" i="10"/>
  <c r="D24" i="10"/>
  <c r="E24" i="10"/>
  <c r="D25" i="10"/>
  <c r="E25" i="10"/>
  <c r="D26" i="10"/>
  <c r="E26" i="10"/>
  <c r="D27" i="10"/>
  <c r="E27" i="10"/>
  <c r="D28" i="10"/>
  <c r="E28" i="10"/>
  <c r="D29" i="10"/>
  <c r="E29" i="10"/>
  <c r="D30" i="10"/>
  <c r="E30" i="10"/>
  <c r="D31" i="10"/>
  <c r="E31" i="10"/>
  <c r="D32" i="10"/>
  <c r="E32" i="10"/>
  <c r="D33" i="10"/>
  <c r="E33" i="10"/>
  <c r="D34" i="10"/>
  <c r="E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D44" i="10"/>
  <c r="E44" i="10"/>
  <c r="D45" i="10"/>
  <c r="E45" i="10"/>
  <c r="D46" i="10"/>
  <c r="E46" i="10"/>
  <c r="D47" i="10"/>
  <c r="E47" i="10"/>
  <c r="D48" i="10"/>
  <c r="E48" i="10"/>
  <c r="D49" i="10"/>
  <c r="E49" i="10"/>
  <c r="D50" i="10"/>
  <c r="E50" i="10"/>
  <c r="D51" i="10"/>
  <c r="E51" i="10"/>
  <c r="D52" i="10"/>
  <c r="E52" i="10"/>
  <c r="D53" i="10"/>
  <c r="E53" i="10"/>
  <c r="D54" i="10"/>
  <c r="E54" i="10"/>
  <c r="D55" i="10"/>
  <c r="E55" i="10"/>
  <c r="D56" i="10"/>
  <c r="E56" i="10"/>
  <c r="D57" i="10"/>
  <c r="E57" i="10"/>
  <c r="D58" i="10"/>
  <c r="E58" i="10"/>
  <c r="D59" i="10"/>
  <c r="E59" i="10"/>
  <c r="D60" i="10"/>
  <c r="E60" i="10"/>
  <c r="D61" i="10"/>
  <c r="E61" i="10"/>
  <c r="D62" i="10"/>
  <c r="E62" i="10"/>
  <c r="D63" i="10"/>
  <c r="E63" i="10"/>
  <c r="D64" i="10"/>
  <c r="E64" i="10"/>
  <c r="D65" i="10"/>
  <c r="E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D72" i="10"/>
  <c r="E72" i="10"/>
  <c r="D73" i="10"/>
  <c r="E73" i="10"/>
  <c r="D74" i="10"/>
  <c r="E74" i="10"/>
  <c r="D75" i="10"/>
  <c r="E75" i="10"/>
  <c r="D76" i="10"/>
  <c r="E76" i="10"/>
  <c r="D77" i="10"/>
  <c r="E77" i="10"/>
  <c r="D78" i="10"/>
  <c r="E78" i="10"/>
  <c r="D79" i="10"/>
  <c r="E79" i="10"/>
  <c r="D80" i="10"/>
  <c r="E80" i="10"/>
  <c r="D81" i="10"/>
  <c r="E81" i="10"/>
  <c r="D82" i="10"/>
  <c r="E82" i="10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/>
  <c r="D90" i="10"/>
  <c r="E90" i="10"/>
  <c r="D91" i="10"/>
  <c r="E91" i="10"/>
  <c r="D92" i="10"/>
  <c r="E92" i="10"/>
  <c r="D93" i="10"/>
  <c r="E93" i="10"/>
  <c r="D94" i="10"/>
  <c r="E94" i="10"/>
  <c r="D95" i="10"/>
  <c r="E95" i="10"/>
  <c r="D96" i="10"/>
  <c r="E96" i="10"/>
  <c r="D97" i="10"/>
  <c r="E97" i="10"/>
  <c r="D98" i="10"/>
  <c r="E98" i="10"/>
  <c r="D99" i="10"/>
  <c r="E99" i="10"/>
  <c r="D100" i="10"/>
  <c r="E100" i="10"/>
  <c r="D101" i="10"/>
  <c r="E101" i="10"/>
  <c r="D102" i="10"/>
  <c r="E102" i="10"/>
  <c r="D103" i="10"/>
  <c r="E103" i="10"/>
  <c r="D104" i="10"/>
  <c r="E104" i="10"/>
  <c r="D105" i="10"/>
  <c r="E105" i="10"/>
  <c r="D106" i="10"/>
  <c r="E106" i="10"/>
  <c r="D107" i="10"/>
  <c r="E107" i="10"/>
  <c r="D108" i="10"/>
  <c r="E108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95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61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4" i="10"/>
</calcChain>
</file>

<file path=xl/sharedStrings.xml><?xml version="1.0" encoding="utf-8"?>
<sst xmlns="http://schemas.openxmlformats.org/spreadsheetml/2006/main" count="823" uniqueCount="224">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</sst>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6" t="s">
        <v>57</v>
      </c>
    </row>
    <row r="4" spans="2:4" ht="12.6" thickBot="1" x14ac:dyDescent="0.3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ht="12" x14ac:dyDescent="0.25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ht="12" x14ac:dyDescent="0.25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ht="12" x14ac:dyDescent="0.25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topLeftCell="A55" workbookViewId="0">
      <selection activeCell="B5" sqref="B5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">
      <c r="D62" s="5"/>
    </row>
    <row r="63" spans="2:7" x14ac:dyDescent="0.3">
      <c r="D63" s="5"/>
    </row>
    <row r="64" spans="2:7" x14ac:dyDescent="0.3">
      <c r="D64" s="5"/>
    </row>
    <row r="65" spans="4:4" x14ac:dyDescent="0.3">
      <c r="D65" s="5"/>
    </row>
    <row r="66" spans="4:4" x14ac:dyDescent="0.3">
      <c r="D66" s="5"/>
    </row>
    <row r="67" spans="4:4" x14ac:dyDescent="0.3">
      <c r="D67" s="5"/>
    </row>
    <row r="68" spans="4:4" x14ac:dyDescent="0.3">
      <c r="D68" s="5"/>
    </row>
    <row r="69" spans="4:4" x14ac:dyDescent="0.3">
      <c r="D69" s="5"/>
    </row>
    <row r="70" spans="4:4" x14ac:dyDescent="0.3">
      <c r="D70" s="5"/>
    </row>
    <row r="71" spans="4:4" x14ac:dyDescent="0.3">
      <c r="D71" s="5"/>
    </row>
    <row r="72" spans="4:4" x14ac:dyDescent="0.3">
      <c r="D72" s="5"/>
    </row>
    <row r="73" spans="4:4" x14ac:dyDescent="0.3">
      <c r="D73" s="5"/>
    </row>
    <row r="74" spans="4:4" x14ac:dyDescent="0.3">
      <c r="D74" s="5"/>
    </row>
    <row r="75" spans="4:4" x14ac:dyDescent="0.3">
      <c r="D75" s="5"/>
    </row>
    <row r="76" spans="4:4" x14ac:dyDescent="0.3">
      <c r="D76" s="5"/>
    </row>
    <row r="77" spans="4:4" x14ac:dyDescent="0.3">
      <c r="D77" s="5"/>
    </row>
    <row r="78" spans="4:4" x14ac:dyDescent="0.3">
      <c r="D78" s="5"/>
    </row>
    <row r="79" spans="4:4" x14ac:dyDescent="0.3">
      <c r="D79" s="5"/>
    </row>
    <row r="80" spans="4:4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topLeftCell="A62"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">
      <c r="D87" s="5"/>
    </row>
    <row r="88" spans="2:7" x14ac:dyDescent="0.3">
      <c r="D88" s="5"/>
    </row>
    <row r="89" spans="2:7" x14ac:dyDescent="0.3">
      <c r="D89" s="5"/>
    </row>
    <row r="90" spans="2:7" x14ac:dyDescent="0.3">
      <c r="D90" s="5"/>
    </row>
    <row r="91" spans="2:7" x14ac:dyDescent="0.3">
      <c r="D91" s="5"/>
    </row>
    <row r="92" spans="2:7" x14ac:dyDescent="0.3">
      <c r="D92" s="5"/>
    </row>
    <row r="93" spans="2:7" x14ac:dyDescent="0.3">
      <c r="D93" s="5"/>
    </row>
    <row r="94" spans="2:7" x14ac:dyDescent="0.3">
      <c r="D94" s="5"/>
    </row>
    <row r="95" spans="2:7" x14ac:dyDescent="0.3">
      <c r="D95" s="5"/>
    </row>
    <row r="96" spans="2:7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  <row r="116" spans="4:4" x14ac:dyDescent="0.3">
      <c r="D116" s="5"/>
    </row>
    <row r="117" spans="4:4" x14ac:dyDescent="0.3">
      <c r="D117" s="5"/>
    </row>
    <row r="118" spans="4:4" x14ac:dyDescent="0.3">
      <c r="D118" s="5"/>
    </row>
    <row r="119" spans="4:4" x14ac:dyDescent="0.3">
      <c r="D119" s="5"/>
    </row>
    <row r="120" spans="4:4" x14ac:dyDescent="0.3">
      <c r="D120" s="5"/>
    </row>
    <row r="121" spans="4:4" x14ac:dyDescent="0.3">
      <c r="D121" s="5"/>
    </row>
    <row r="122" spans="4:4" x14ac:dyDescent="0.3">
      <c r="D122" s="5"/>
    </row>
    <row r="123" spans="4:4" x14ac:dyDescent="0.3">
      <c r="D123" s="5"/>
    </row>
    <row r="124" spans="4:4" x14ac:dyDescent="0.3">
      <c r="D124" s="5"/>
    </row>
    <row r="125" spans="4:4" x14ac:dyDescent="0.3">
      <c r="D125" s="5"/>
    </row>
    <row r="126" spans="4:4" x14ac:dyDescent="0.3">
      <c r="D126" s="5"/>
    </row>
    <row r="127" spans="4:4" x14ac:dyDescent="0.3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topLeftCell="A54"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">
      <c r="D79" s="5"/>
    </row>
    <row r="80" spans="2:7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topLeftCell="A17" workbookViewId="0">
      <selection activeCell="E12" sqref="E12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bestFit="1" customWidth="1"/>
    <col min="6" max="16384" width="9.109375" style="2"/>
  </cols>
  <sheetData>
    <row r="1" spans="2:8" ht="15.6" x14ac:dyDescent="0.3">
      <c r="B1" s="3" t="s">
        <v>56</v>
      </c>
    </row>
    <row r="3" spans="2:8" ht="12.6" thickBot="1" x14ac:dyDescent="0.3">
      <c r="B3" s="26" t="s">
        <v>115</v>
      </c>
      <c r="C3" s="26" t="s">
        <v>99</v>
      </c>
      <c r="D3" s="26" t="s">
        <v>31</v>
      </c>
      <c r="E3" s="26" t="s">
        <v>100</v>
      </c>
      <c r="F3" s="27" t="s">
        <v>221</v>
      </c>
      <c r="G3" s="27" t="s">
        <v>222</v>
      </c>
      <c r="H3" s="27" t="s">
        <v>223</v>
      </c>
    </row>
    <row r="4" spans="2:8" x14ac:dyDescent="0.2">
      <c r="B4" s="25" t="s">
        <v>116</v>
      </c>
      <c r="C4" s="2" t="str">
        <f>_xlfn.XLOOKUP($B4, '1.1 FY2016'!$B$5:$B$61,'1.1 FY2016'!C$5:C$61)</f>
        <v>Core business revenues</v>
      </c>
      <c r="D4" s="25">
        <f>_xlfn.XLOOKUP($B4, '1.1 FY2016'!$B$5:$B$61,'1.1 FY2016'!D$5:D$61)</f>
        <v>111111</v>
      </c>
      <c r="E4" s="2" t="str">
        <f>_xlfn.XLOOKUP($B4, '1.1 FY2016'!$B$5:$B$61,'1.1 FY2016'!E$5:E$61)</f>
        <v>External</v>
      </c>
      <c r="F4" s="25"/>
      <c r="G4" s="25"/>
      <c r="H4" s="25"/>
    </row>
    <row r="5" spans="2:8" x14ac:dyDescent="0.2">
      <c r="B5" s="25" t="s">
        <v>117</v>
      </c>
      <c r="C5" s="2" t="str">
        <f>_xlfn.XLOOKUP($B5, '1.1 FY2016'!$B$5:$B$61,'1.1 FY2016'!C$5:C$61)</f>
        <v>Other revenues</v>
      </c>
      <c r="D5" s="25">
        <f>_xlfn.XLOOKUP($B5, '1.1 FY2016'!$B$5:$B$61,'1.1 FY2016'!D$5:D$61)</f>
        <v>111111</v>
      </c>
      <c r="E5" s="2" t="str">
        <f>_xlfn.XLOOKUP($B5, '1.1 FY2016'!$B$5:$B$61,'1.1 FY2016'!E$5:E$61)</f>
        <v>External</v>
      </c>
      <c r="F5" s="25"/>
      <c r="G5" s="25"/>
      <c r="H5" s="25"/>
    </row>
    <row r="6" spans="2:8" x14ac:dyDescent="0.2">
      <c r="B6" s="25" t="s">
        <v>118</v>
      </c>
      <c r="C6" s="2" t="str">
        <f>_xlfn.XLOOKUP($B6, '1.1 FY2016'!$B$5:$B$61,'1.1 FY2016'!C$5:C$61)</f>
        <v>Capitalized costs</v>
      </c>
      <c r="D6" s="25">
        <f>_xlfn.XLOOKUP($B6, '1.1 FY2016'!$B$5:$B$61,'1.1 FY2016'!D$5:D$61)</f>
        <v>1009</v>
      </c>
      <c r="E6" s="2" t="str">
        <f>_xlfn.XLOOKUP($B6, '1.1 FY2016'!$B$5:$B$61,'1.1 FY2016'!E$5:E$61)</f>
        <v>Green Ventures Ltd</v>
      </c>
      <c r="F6" s="25"/>
      <c r="G6" s="25"/>
      <c r="H6" s="25"/>
    </row>
    <row r="7" spans="2:8" x14ac:dyDescent="0.2">
      <c r="B7" s="25" t="s">
        <v>119</v>
      </c>
      <c r="C7" s="2" t="str">
        <f>_xlfn.XLOOKUP($B7, '1.1 FY2016'!$B$5:$B$61,'1.1 FY2016'!C$5:C$61)</f>
        <v>Capitalized costs</v>
      </c>
      <c r="D7" s="25">
        <f>_xlfn.XLOOKUP($B7, '1.1 FY2016'!$B$5:$B$61,'1.1 FY2016'!D$5:D$61)</f>
        <v>1007</v>
      </c>
      <c r="E7" s="2" t="str">
        <f>_xlfn.XLOOKUP($B7, '1.1 FY2016'!$B$5:$B$61,'1.1 FY2016'!E$5:E$61)</f>
        <v>Generco Sunshine JSC</v>
      </c>
      <c r="F7" s="25"/>
      <c r="G7" s="25"/>
      <c r="H7" s="25"/>
    </row>
    <row r="8" spans="2:8" x14ac:dyDescent="0.2">
      <c r="B8" s="25" t="s">
        <v>120</v>
      </c>
      <c r="C8" s="2" t="str">
        <f>_xlfn.XLOOKUP($B8, '1.1 FY2016'!$B$5:$B$61,'1.1 FY2016'!C$5:C$61)</f>
        <v>Capitalized costs</v>
      </c>
      <c r="D8" s="25">
        <f>_xlfn.XLOOKUP($B8, '1.1 FY2016'!$B$5:$B$61,'1.1 FY2016'!D$5:D$61)</f>
        <v>1008</v>
      </c>
      <c r="E8" s="2" t="str">
        <f>_xlfn.XLOOKUP($B8, '1.1 FY2016'!$B$5:$B$61,'1.1 FY2016'!E$5:E$61)</f>
        <v>Greenco Ltd</v>
      </c>
      <c r="F8" s="25"/>
      <c r="G8" s="25"/>
      <c r="H8" s="25"/>
    </row>
    <row r="9" spans="2:8" x14ac:dyDescent="0.2">
      <c r="B9" s="25" t="s">
        <v>121</v>
      </c>
      <c r="C9" s="2" t="str">
        <f>_xlfn.XLOOKUP($B9, '1.1 FY2016'!$B$5:$B$61,'1.1 FY2016'!C$5:C$61)</f>
        <v>Capitalized costs</v>
      </c>
      <c r="D9" s="25">
        <f>_xlfn.XLOOKUP($B9, '1.1 FY2016'!$B$5:$B$61,'1.1 FY2016'!D$5:D$61)</f>
        <v>111101</v>
      </c>
      <c r="E9" s="2" t="str">
        <f>_xlfn.XLOOKUP($B9, '1.1 FY2016'!$B$5:$B$61,'1.1 FY2016'!E$5:E$61)</f>
        <v>Not assigned</v>
      </c>
      <c r="F9" s="25"/>
      <c r="G9" s="25"/>
      <c r="H9" s="25"/>
    </row>
    <row r="10" spans="2:8" x14ac:dyDescent="0.2">
      <c r="B10" s="25" t="s">
        <v>122</v>
      </c>
      <c r="C10" s="2" t="str">
        <f>_xlfn.XLOOKUP($B10, '1.1 FY2016'!$B$5:$B$61,'1.1 FY2016'!C$5:C$61)</f>
        <v>Direct costs</v>
      </c>
      <c r="D10" s="25">
        <f>_xlfn.XLOOKUP($B10, '1.1 FY2016'!$B$5:$B$61,'1.1 FY2016'!D$5:D$61)</f>
        <v>111111</v>
      </c>
      <c r="E10" s="2" t="str">
        <f>_xlfn.XLOOKUP($B10, '1.1 FY2016'!$B$5:$B$61,'1.1 FY2016'!E$5:E$61)</f>
        <v>External</v>
      </c>
      <c r="F10" s="25"/>
      <c r="G10" s="25"/>
      <c r="H10" s="25"/>
    </row>
    <row r="11" spans="2:8" x14ac:dyDescent="0.2">
      <c r="B11" s="25" t="s">
        <v>123</v>
      </c>
      <c r="C11" s="2" t="str">
        <f>_xlfn.XLOOKUP($B11, '1.1 FY2016'!$B$5:$B$61,'1.1 FY2016'!C$5:C$61)</f>
        <v>Freight outbound expenses</v>
      </c>
      <c r="D11" s="25">
        <f>_xlfn.XLOOKUP($B11, '1.1 FY2016'!$B$5:$B$61,'1.1 FY2016'!D$5:D$61)</f>
        <v>111111</v>
      </c>
      <c r="E11" s="2" t="str">
        <f>_xlfn.XLOOKUP($B11, '1.1 FY2016'!$B$5:$B$61,'1.1 FY2016'!E$5:E$61)</f>
        <v>External</v>
      </c>
      <c r="F11" s="25"/>
      <c r="G11" s="25"/>
      <c r="H11" s="25"/>
    </row>
    <row r="12" spans="2:8" x14ac:dyDescent="0.2">
      <c r="B12" s="25" t="s">
        <v>124</v>
      </c>
      <c r="C12" s="2" t="str">
        <f>_xlfn.XLOOKUP($B12, '1.1 FY2016'!$B$5:$B$61,'1.1 FY2016'!C$5:C$61)</f>
        <v>R&amp;D expenses</v>
      </c>
      <c r="D12" s="25">
        <f>_xlfn.XLOOKUP($B12, '1.1 FY2016'!$B$5:$B$61,'1.1 FY2016'!D$5:D$61)</f>
        <v>88</v>
      </c>
      <c r="E12" s="2" t="str">
        <f>_xlfn.XLOOKUP($B12, '1.1 FY2016'!$B$5:$B$61,'1.1 FY2016'!E$5:E$61)</f>
        <v>Generco Ltd</v>
      </c>
      <c r="F12" s="25"/>
      <c r="G12" s="25"/>
      <c r="H12" s="25"/>
    </row>
    <row r="13" spans="2:8" x14ac:dyDescent="0.2">
      <c r="B13" s="25" t="s">
        <v>125</v>
      </c>
      <c r="C13" s="2" t="str">
        <f>_xlfn.XLOOKUP($B13, '1.1 FY2016'!$B$5:$B$61,'1.1 FY2016'!C$5:C$61)</f>
        <v>R&amp;D expenses</v>
      </c>
      <c r="D13" s="25">
        <f>_xlfn.XLOOKUP($B13, '1.1 FY2016'!$B$5:$B$61,'1.1 FY2016'!D$5:D$61)</f>
        <v>111111</v>
      </c>
      <c r="E13" s="2" t="str">
        <f>_xlfn.XLOOKUP($B13, '1.1 FY2016'!$B$5:$B$61,'1.1 FY2016'!E$5:E$61)</f>
        <v>External</v>
      </c>
      <c r="F13" s="25"/>
      <c r="G13" s="25"/>
      <c r="H13" s="25"/>
    </row>
    <row r="14" spans="2:8" x14ac:dyDescent="0.2">
      <c r="B14" s="25" t="s">
        <v>126</v>
      </c>
      <c r="C14" s="2" t="str">
        <f>_xlfn.XLOOKUP($B14, '1.1 FY2016'!$B$5:$B$61,'1.1 FY2016'!C$5:C$61)</f>
        <v>Wages and salaries</v>
      </c>
      <c r="D14" s="25">
        <f>_xlfn.XLOOKUP($B14, '1.1 FY2016'!$B$5:$B$61,'1.1 FY2016'!D$5:D$61)</f>
        <v>111111</v>
      </c>
      <c r="E14" s="2" t="str">
        <f>_xlfn.XLOOKUP($B14, '1.1 FY2016'!$B$5:$B$61,'1.1 FY2016'!E$5:E$61)</f>
        <v>External</v>
      </c>
      <c r="F14" s="25"/>
      <c r="G14" s="25"/>
      <c r="H14" s="25"/>
    </row>
    <row r="15" spans="2:8" x14ac:dyDescent="0.2">
      <c r="B15" s="25" t="s">
        <v>127</v>
      </c>
      <c r="C15" s="2" t="str">
        <f>_xlfn.XLOOKUP($B15, '1.1 FY2016'!$B$5:$B$61,'1.1 FY2016'!C$5:C$61)</f>
        <v>Pension contributions</v>
      </c>
      <c r="D15" s="25">
        <f>_xlfn.XLOOKUP($B15, '1.1 FY2016'!$B$5:$B$61,'1.1 FY2016'!D$5:D$61)</f>
        <v>111101</v>
      </c>
      <c r="E15" s="2" t="str">
        <f>_xlfn.XLOOKUP($B15, '1.1 FY2016'!$B$5:$B$61,'1.1 FY2016'!E$5:E$61)</f>
        <v>Not assigned</v>
      </c>
      <c r="F15" s="25"/>
      <c r="G15" s="25"/>
      <c r="H15" s="25"/>
    </row>
    <row r="16" spans="2:8" x14ac:dyDescent="0.2">
      <c r="B16" s="25" t="s">
        <v>128</v>
      </c>
      <c r="C16" s="2" t="str">
        <f>_xlfn.XLOOKUP($B16, '1.1 FY2016'!$B$5:$B$61,'1.1 FY2016'!C$5:C$61)</f>
        <v>Pension contributions</v>
      </c>
      <c r="D16" s="25">
        <f>_xlfn.XLOOKUP($B16, '1.1 FY2016'!$B$5:$B$61,'1.1 FY2016'!D$5:D$61)</f>
        <v>88</v>
      </c>
      <c r="E16" s="2" t="str">
        <f>_xlfn.XLOOKUP($B16, '1.1 FY2016'!$B$5:$B$61,'1.1 FY2016'!E$5:E$61)</f>
        <v>Generco Ltd</v>
      </c>
      <c r="F16" s="25"/>
      <c r="G16" s="25"/>
      <c r="H16" s="25"/>
    </row>
    <row r="17" spans="2:8" x14ac:dyDescent="0.2">
      <c r="B17" s="25" t="s">
        <v>129</v>
      </c>
      <c r="C17" s="2" t="str">
        <f>_xlfn.XLOOKUP($B17, '1.1 FY2016'!$B$5:$B$61,'1.1 FY2016'!C$5:C$61)</f>
        <v>Severance indemnity contribution</v>
      </c>
      <c r="D17" s="25">
        <f>_xlfn.XLOOKUP($B17, '1.1 FY2016'!$B$5:$B$61,'1.1 FY2016'!D$5:D$61)</f>
        <v>111101</v>
      </c>
      <c r="E17" s="2" t="str">
        <f>_xlfn.XLOOKUP($B17, '1.1 FY2016'!$B$5:$B$61,'1.1 FY2016'!E$5:E$61)</f>
        <v>Not assigned</v>
      </c>
      <c r="F17" s="25"/>
      <c r="G17" s="25"/>
      <c r="H17" s="25"/>
    </row>
    <row r="18" spans="2:8" x14ac:dyDescent="0.2">
      <c r="B18" s="25" t="s">
        <v>130</v>
      </c>
      <c r="C18" s="2" t="str">
        <f>_xlfn.XLOOKUP($B18, '1.1 FY2016'!$B$5:$B$61,'1.1 FY2016'!C$5:C$61)</f>
        <v>D&amp;A</v>
      </c>
      <c r="D18" s="25">
        <f>_xlfn.XLOOKUP($B18, '1.1 FY2016'!$B$5:$B$61,'1.1 FY2016'!D$5:D$61)</f>
        <v>111101</v>
      </c>
      <c r="E18" s="2" t="str">
        <f>_xlfn.XLOOKUP($B18, '1.1 FY2016'!$B$5:$B$61,'1.1 FY2016'!E$5:E$61)</f>
        <v>Not assigned</v>
      </c>
      <c r="F18" s="25"/>
      <c r="G18" s="25"/>
      <c r="H18" s="25"/>
    </row>
    <row r="19" spans="2:8" x14ac:dyDescent="0.2">
      <c r="B19" s="25" t="s">
        <v>131</v>
      </c>
      <c r="C19" s="2" t="str">
        <f>_xlfn.XLOOKUP($B19, '1.1 FY2016'!$B$5:$B$61,'1.1 FY2016'!C$5:C$61)</f>
        <v>D&amp;A</v>
      </c>
      <c r="D19" s="25">
        <f>_xlfn.XLOOKUP($B19, '1.1 FY2016'!$B$5:$B$61,'1.1 FY2016'!D$5:D$61)</f>
        <v>1</v>
      </c>
      <c r="E19" s="2" t="str">
        <f>_xlfn.XLOOKUP($B19, '1.1 FY2016'!$B$5:$B$61,'1.1 FY2016'!E$5:E$61)</f>
        <v>Not assigned</v>
      </c>
      <c r="F19" s="25"/>
      <c r="G19" s="25"/>
      <c r="H19" s="25"/>
    </row>
    <row r="20" spans="2:8" x14ac:dyDescent="0.2">
      <c r="B20" s="25" t="s">
        <v>132</v>
      </c>
      <c r="C20" s="2" t="str">
        <f>_xlfn.XLOOKUP($B20, '1.1 FY2016'!$B$5:$B$61,'1.1 FY2016'!C$5:C$61)</f>
        <v>Corporate recharges</v>
      </c>
      <c r="D20" s="25" t="str">
        <f>_xlfn.XLOOKUP($B20, '1.1 FY2016'!$B$5:$B$61,'1.1 FY2016'!D$5:D$61)</f>
        <v>1</v>
      </c>
      <c r="E20" s="2" t="str">
        <f>_xlfn.XLOOKUP($B20, '1.1 FY2016'!$B$5:$B$61,'1.1 FY2016'!E$5:E$61)</f>
        <v>Greeny Ltd</v>
      </c>
      <c r="F20" s="25"/>
      <c r="G20" s="25"/>
      <c r="H20" s="25"/>
    </row>
    <row r="21" spans="2:8" x14ac:dyDescent="0.2">
      <c r="B21" s="25" t="s">
        <v>133</v>
      </c>
      <c r="C21" s="2" t="str">
        <f>_xlfn.XLOOKUP($B21, '1.1 FY2016'!$B$5:$B$61,'1.1 FY2016'!C$5:C$61)</f>
        <v>Corporate recharges</v>
      </c>
      <c r="D21" s="25">
        <f>_xlfn.XLOOKUP($B21, '1.1 FY2016'!$B$5:$B$61,'1.1 FY2016'!D$5:D$61)</f>
        <v>14</v>
      </c>
      <c r="E21" s="2" t="str">
        <f>_xlfn.XLOOKUP($B21, '1.1 FY2016'!$B$5:$B$61,'1.1 FY2016'!E$5:E$61)</f>
        <v>Generco Cosmetics Ltd</v>
      </c>
      <c r="F21" s="25"/>
      <c r="G21" s="25"/>
      <c r="H21" s="25"/>
    </row>
    <row r="22" spans="2:8" x14ac:dyDescent="0.2">
      <c r="B22" s="25" t="s">
        <v>134</v>
      </c>
      <c r="C22" s="2" t="str">
        <f>_xlfn.XLOOKUP($B22, '1.1 FY2016'!$B$5:$B$61,'1.1 FY2016'!C$5:C$61)</f>
        <v>Corporate recharges</v>
      </c>
      <c r="D22" s="25">
        <f>_xlfn.XLOOKUP($B22, '1.1 FY2016'!$B$5:$B$61,'1.1 FY2016'!D$5:D$61)</f>
        <v>1037</v>
      </c>
      <c r="E22" s="2" t="str">
        <f>_xlfn.XLOOKUP($B22, '1.1 FY2016'!$B$5:$B$61,'1.1 FY2016'!E$5:E$61)</f>
        <v>Generco Canada JSC</v>
      </c>
      <c r="F22" s="25"/>
      <c r="G22" s="25"/>
      <c r="H22" s="25"/>
    </row>
    <row r="23" spans="2:8" x14ac:dyDescent="0.2">
      <c r="B23" s="25" t="s">
        <v>135</v>
      </c>
      <c r="C23" s="2" t="str">
        <f>_xlfn.XLOOKUP($B23, '1.1 FY2016'!$B$5:$B$61,'1.1 FY2016'!C$5:C$61)</f>
        <v>Corporate recharges</v>
      </c>
      <c r="D23" s="25" t="str">
        <f>_xlfn.XLOOKUP($B23, '1.1 FY2016'!$B$5:$B$61,'1.1 FY2016'!D$5:D$61)</f>
        <v>1087</v>
      </c>
      <c r="E23" s="2" t="str">
        <f>_xlfn.XLOOKUP($B23, '1.1 FY2016'!$B$5:$B$61,'1.1 FY2016'!E$5:E$61)</f>
        <v>Gener Beauty GmbH</v>
      </c>
      <c r="F23" s="25"/>
      <c r="G23" s="25"/>
      <c r="H23" s="25"/>
    </row>
    <row r="24" spans="2:8" x14ac:dyDescent="0.2">
      <c r="B24" s="25" t="s">
        <v>136</v>
      </c>
      <c r="C24" s="2" t="str">
        <f>_xlfn.XLOOKUP($B24, '1.1 FY2016'!$B$5:$B$61,'1.1 FY2016'!C$5:C$61)</f>
        <v>Corporate recharges</v>
      </c>
      <c r="D24" s="25">
        <f>_xlfn.XLOOKUP($B24, '1.1 FY2016'!$B$5:$B$61,'1.1 FY2016'!D$5:D$61)</f>
        <v>1009</v>
      </c>
      <c r="E24" s="2" t="str">
        <f>_xlfn.XLOOKUP($B24, '1.1 FY2016'!$B$5:$B$61,'1.1 FY2016'!E$5:E$61)</f>
        <v>Green Ventures Ltd</v>
      </c>
      <c r="F24" s="25"/>
      <c r="G24" s="25"/>
      <c r="H24" s="25"/>
    </row>
    <row r="25" spans="2:8" x14ac:dyDescent="0.2">
      <c r="B25" s="25" t="s">
        <v>137</v>
      </c>
      <c r="C25" s="2" t="str">
        <f>_xlfn.XLOOKUP($B25, '1.1 FY2016'!$B$5:$B$61,'1.1 FY2016'!C$5:C$61)</f>
        <v>Corporate recharges</v>
      </c>
      <c r="D25" s="25">
        <f>_xlfn.XLOOKUP($B25, '1.1 FY2016'!$B$5:$B$61,'1.1 FY2016'!D$5:D$61)</f>
        <v>1007</v>
      </c>
      <c r="E25" s="2" t="str">
        <f>_xlfn.XLOOKUP($B25, '1.1 FY2016'!$B$5:$B$61,'1.1 FY2016'!E$5:E$61)</f>
        <v>Generco Sunshine JSC</v>
      </c>
      <c r="F25" s="25"/>
      <c r="G25" s="25"/>
      <c r="H25" s="25"/>
    </row>
    <row r="26" spans="2:8" x14ac:dyDescent="0.2">
      <c r="B26" s="25" t="s">
        <v>138</v>
      </c>
      <c r="C26" s="2" t="str">
        <f>_xlfn.XLOOKUP($B26, '1.1 FY2016'!$B$5:$B$61,'1.1 FY2016'!C$5:C$61)</f>
        <v>Corporate recharges</v>
      </c>
      <c r="D26" s="25">
        <f>_xlfn.XLOOKUP($B26, '1.1 FY2016'!$B$5:$B$61,'1.1 FY2016'!D$5:D$61)</f>
        <v>1008</v>
      </c>
      <c r="E26" s="2" t="str">
        <f>_xlfn.XLOOKUP($B26, '1.1 FY2016'!$B$5:$B$61,'1.1 FY2016'!E$5:E$61)</f>
        <v>Greenco Ltd</v>
      </c>
      <c r="F26" s="25"/>
      <c r="G26" s="25"/>
      <c r="H26" s="25"/>
    </row>
    <row r="27" spans="2:8" x14ac:dyDescent="0.2">
      <c r="B27" s="25" t="s">
        <v>139</v>
      </c>
      <c r="C27" s="2" t="str">
        <f>_xlfn.XLOOKUP($B27, '1.1 FY2016'!$B$5:$B$61,'1.1 FY2016'!C$5:C$61)</f>
        <v>Corporate recharges</v>
      </c>
      <c r="D27" s="25">
        <f>_xlfn.XLOOKUP($B27, '1.1 FY2016'!$B$5:$B$61,'1.1 FY2016'!D$5:D$61)</f>
        <v>1240</v>
      </c>
      <c r="E27" s="2" t="str">
        <f>_xlfn.XLOOKUP($B27, '1.1 FY2016'!$B$5:$B$61,'1.1 FY2016'!E$5:E$61)</f>
        <v xml:space="preserve">Generco UK </v>
      </c>
      <c r="F27" s="25"/>
      <c r="G27" s="25"/>
      <c r="H27" s="25"/>
    </row>
    <row r="28" spans="2:8" x14ac:dyDescent="0.2">
      <c r="B28" s="25" t="s">
        <v>140</v>
      </c>
      <c r="C28" s="2" t="str">
        <f>_xlfn.XLOOKUP($B28, '1.1 FY2016'!$B$5:$B$61,'1.1 FY2016'!C$5:C$61)</f>
        <v>Corporate recharges</v>
      </c>
      <c r="D28" s="25">
        <f>_xlfn.XLOOKUP($B28, '1.1 FY2016'!$B$5:$B$61,'1.1 FY2016'!D$5:D$61)</f>
        <v>111111</v>
      </c>
      <c r="E28" s="2" t="str">
        <f>_xlfn.XLOOKUP($B28, '1.1 FY2016'!$B$5:$B$61,'1.1 FY2016'!E$5:E$61)</f>
        <v>External</v>
      </c>
      <c r="F28" s="25"/>
      <c r="G28" s="25"/>
      <c r="H28" s="25"/>
    </row>
    <row r="29" spans="2:8" x14ac:dyDescent="0.2">
      <c r="B29" s="25" t="s">
        <v>141</v>
      </c>
      <c r="C29" s="2" t="str">
        <f>_xlfn.XLOOKUP($B29, '1.1 FY2016'!$B$5:$B$61,'1.1 FY2016'!C$5:C$61)</f>
        <v>Other income</v>
      </c>
      <c r="D29" s="25">
        <f>_xlfn.XLOOKUP($B29, '1.1 FY2016'!$B$5:$B$61,'1.1 FY2016'!D$5:D$61)</f>
        <v>111111</v>
      </c>
      <c r="E29" s="2" t="str">
        <f>_xlfn.XLOOKUP($B29, '1.1 FY2016'!$B$5:$B$61,'1.1 FY2016'!E$5:E$61)</f>
        <v>External</v>
      </c>
      <c r="F29" s="25"/>
      <c r="G29" s="25"/>
      <c r="H29" s="25"/>
    </row>
    <row r="30" spans="2:8" x14ac:dyDescent="0.2">
      <c r="B30" s="25" t="s">
        <v>142</v>
      </c>
      <c r="C30" s="2" t="str">
        <f>_xlfn.XLOOKUP($B30, '1.1 FY2016'!$B$5:$B$61,'1.1 FY2016'!C$5:C$61)</f>
        <v>Marketing expenses</v>
      </c>
      <c r="D30" s="25">
        <f>_xlfn.XLOOKUP($B30, '1.1 FY2016'!$B$5:$B$61,'1.1 FY2016'!D$5:D$61)</f>
        <v>111111</v>
      </c>
      <c r="E30" s="2" t="str">
        <f>_xlfn.XLOOKUP($B30, '1.1 FY2016'!$B$5:$B$61,'1.1 FY2016'!E$5:E$61)</f>
        <v>External</v>
      </c>
      <c r="F30" s="25"/>
      <c r="G30" s="25"/>
      <c r="H30" s="25"/>
    </row>
    <row r="31" spans="2:8" x14ac:dyDescent="0.2">
      <c r="B31" s="25" t="s">
        <v>143</v>
      </c>
      <c r="C31" s="2" t="str">
        <f>_xlfn.XLOOKUP($B31, '1.1 FY2016'!$B$5:$B$61,'1.1 FY2016'!C$5:C$61)</f>
        <v>Software&amp;IT</v>
      </c>
      <c r="D31" s="25">
        <f>_xlfn.XLOOKUP($B31, '1.1 FY2016'!$B$5:$B$61,'1.1 FY2016'!D$5:D$61)</f>
        <v>88</v>
      </c>
      <c r="E31" s="2" t="str">
        <f>_xlfn.XLOOKUP($B31, '1.1 FY2016'!$B$5:$B$61,'1.1 FY2016'!E$5:E$61)</f>
        <v>Generco Ltd</v>
      </c>
      <c r="F31" s="25"/>
      <c r="G31" s="25"/>
      <c r="H31" s="25"/>
    </row>
    <row r="32" spans="2:8" x14ac:dyDescent="0.2">
      <c r="B32" s="25" t="s">
        <v>144</v>
      </c>
      <c r="C32" s="2" t="str">
        <f>_xlfn.XLOOKUP($B32, '1.1 FY2016'!$B$5:$B$61,'1.1 FY2016'!C$5:C$61)</f>
        <v>Software&amp;IT</v>
      </c>
      <c r="D32" s="25">
        <f>_xlfn.XLOOKUP($B32, '1.1 FY2016'!$B$5:$B$61,'1.1 FY2016'!D$5:D$61)</f>
        <v>111111</v>
      </c>
      <c r="E32" s="2" t="str">
        <f>_xlfn.XLOOKUP($B32, '1.1 FY2016'!$B$5:$B$61,'1.1 FY2016'!E$5:E$61)</f>
        <v>External</v>
      </c>
      <c r="F32" s="25"/>
      <c r="G32" s="25"/>
      <c r="H32" s="25"/>
    </row>
    <row r="33" spans="2:8" x14ac:dyDescent="0.2">
      <c r="B33" s="25" t="s">
        <v>145</v>
      </c>
      <c r="C33" s="2" t="str">
        <f>_xlfn.XLOOKUP($B33, '1.1 FY2016'!$B$5:$B$61,'1.1 FY2016'!C$5:C$61)</f>
        <v>Leasings</v>
      </c>
      <c r="D33" s="25">
        <f>_xlfn.XLOOKUP($B33, '1.1 FY2016'!$B$5:$B$61,'1.1 FY2016'!D$5:D$61)</f>
        <v>111111</v>
      </c>
      <c r="E33" s="2" t="str">
        <f>_xlfn.XLOOKUP($B33, '1.1 FY2016'!$B$5:$B$61,'1.1 FY2016'!E$5:E$61)</f>
        <v>External</v>
      </c>
      <c r="F33" s="25"/>
      <c r="G33" s="25"/>
      <c r="H33" s="25"/>
    </row>
    <row r="34" spans="2:8" x14ac:dyDescent="0.2">
      <c r="B34" s="25" t="s">
        <v>146</v>
      </c>
      <c r="C34" s="2" t="str">
        <f>_xlfn.XLOOKUP($B34, '1.1 FY2016'!$B$5:$B$61,'1.1 FY2016'!C$5:C$61)</f>
        <v>Service expenses</v>
      </c>
      <c r="D34" s="25" t="str">
        <f>_xlfn.XLOOKUP($B34, '1.1 FY2016'!$B$5:$B$61,'1.1 FY2016'!D$5:D$61)</f>
        <v>43</v>
      </c>
      <c r="E34" s="2" t="str">
        <f>_xlfn.XLOOKUP($B34, '1.1 FY2016'!$B$5:$B$61,'1.1 FY2016'!E$5:E$61)</f>
        <v>Greeny France SL</v>
      </c>
      <c r="F34" s="25"/>
      <c r="G34" s="25"/>
      <c r="H34" s="25"/>
    </row>
    <row r="35" spans="2:8" x14ac:dyDescent="0.2">
      <c r="B35" s="25" t="s">
        <v>147</v>
      </c>
      <c r="C35" s="2" t="str">
        <f>_xlfn.XLOOKUP($B35, '1.1 FY2016'!$B$5:$B$61,'1.1 FY2016'!C$5:C$61)</f>
        <v>Service expenses</v>
      </c>
      <c r="D35" s="25" t="str">
        <f>_xlfn.XLOOKUP($B35, '1.1 FY2016'!$B$5:$B$61,'1.1 FY2016'!D$5:D$61)</f>
        <v>2240</v>
      </c>
      <c r="E35" s="2" t="str">
        <f>_xlfn.XLOOKUP($B35, '1.1 FY2016'!$B$5:$B$61,'1.1 FY2016'!E$5:E$61)</f>
        <v>Greeny Germany GmbH</v>
      </c>
      <c r="F35" s="25"/>
      <c r="G35" s="25"/>
      <c r="H35" s="25"/>
    </row>
    <row r="36" spans="2:8" x14ac:dyDescent="0.2">
      <c r="B36" s="25" t="s">
        <v>148</v>
      </c>
      <c r="C36" s="2" t="str">
        <f>_xlfn.XLOOKUP($B36, '1.1 FY2016'!$B$5:$B$61,'1.1 FY2016'!C$5:C$61)</f>
        <v>Service expenses</v>
      </c>
      <c r="D36" s="25">
        <f>_xlfn.XLOOKUP($B36, '1.1 FY2016'!$B$5:$B$61,'1.1 FY2016'!D$5:D$61)</f>
        <v>111111</v>
      </c>
      <c r="E36" s="2" t="str">
        <f>_xlfn.XLOOKUP($B36, '1.1 FY2016'!$B$5:$B$61,'1.1 FY2016'!E$5:E$61)</f>
        <v>External</v>
      </c>
      <c r="F36" s="25"/>
      <c r="G36" s="25"/>
      <c r="H36" s="25"/>
    </row>
    <row r="37" spans="2:8" x14ac:dyDescent="0.2">
      <c r="B37" s="25" t="s">
        <v>149</v>
      </c>
      <c r="C37" s="2" t="str">
        <f>_xlfn.XLOOKUP($B37, '1.1 FY2016'!$B$5:$B$61,'1.1 FY2016'!C$5:C$61)</f>
        <v>Charges and contributions</v>
      </c>
      <c r="D37" s="25">
        <f>_xlfn.XLOOKUP($B37, '1.1 FY2016'!$B$5:$B$61,'1.1 FY2016'!D$5:D$61)</f>
        <v>111111</v>
      </c>
      <c r="E37" s="2" t="str">
        <f>_xlfn.XLOOKUP($B37, '1.1 FY2016'!$B$5:$B$61,'1.1 FY2016'!E$5:E$61)</f>
        <v>External</v>
      </c>
      <c r="F37" s="25"/>
      <c r="G37" s="25"/>
      <c r="H37" s="25"/>
    </row>
    <row r="38" spans="2:8" x14ac:dyDescent="0.2">
      <c r="B38" s="25" t="s">
        <v>150</v>
      </c>
      <c r="C38" s="2" t="str">
        <f>_xlfn.XLOOKUP($B38, '1.1 FY2016'!$B$5:$B$61,'1.1 FY2016'!C$5:C$61)</f>
        <v>Insurance expenses</v>
      </c>
      <c r="D38" s="25">
        <f>_xlfn.XLOOKUP($B38, '1.1 FY2016'!$B$5:$B$61,'1.1 FY2016'!D$5:D$61)</f>
        <v>111111</v>
      </c>
      <c r="E38" s="2" t="str">
        <f>_xlfn.XLOOKUP($B38, '1.1 FY2016'!$B$5:$B$61,'1.1 FY2016'!E$5:E$61)</f>
        <v>External</v>
      </c>
      <c r="F38" s="25"/>
      <c r="G38" s="25"/>
      <c r="H38" s="25"/>
    </row>
    <row r="39" spans="2:8" x14ac:dyDescent="0.2">
      <c r="B39" s="25" t="s">
        <v>151</v>
      </c>
      <c r="C39" s="2" t="str">
        <f>_xlfn.XLOOKUP($B39, '1.1 FY2016'!$B$5:$B$61,'1.1 FY2016'!C$5:C$61)</f>
        <v>Travel expenses</v>
      </c>
      <c r="D39" s="25">
        <f>_xlfn.XLOOKUP($B39, '1.1 FY2016'!$B$5:$B$61,'1.1 FY2016'!D$5:D$61)</f>
        <v>111111</v>
      </c>
      <c r="E39" s="2" t="str">
        <f>_xlfn.XLOOKUP($B39, '1.1 FY2016'!$B$5:$B$61,'1.1 FY2016'!E$5:E$61)</f>
        <v>External</v>
      </c>
      <c r="F39" s="25"/>
      <c r="G39" s="25"/>
      <c r="H39" s="25"/>
    </row>
    <row r="40" spans="2:8" x14ac:dyDescent="0.2">
      <c r="B40" s="25" t="s">
        <v>152</v>
      </c>
      <c r="C40" s="2" t="str">
        <f>_xlfn.XLOOKUP($B40, '1.1 FY2016'!$B$5:$B$61,'1.1 FY2016'!C$5:C$61)</f>
        <v>Utility expenses</v>
      </c>
      <c r="D40" s="25">
        <f>_xlfn.XLOOKUP($B40, '1.1 FY2016'!$B$5:$B$61,'1.1 FY2016'!D$5:D$61)</f>
        <v>111111</v>
      </c>
      <c r="E40" s="2" t="str">
        <f>_xlfn.XLOOKUP($B40, '1.1 FY2016'!$B$5:$B$61,'1.1 FY2016'!E$5:E$61)</f>
        <v>External</v>
      </c>
      <c r="F40" s="25"/>
      <c r="G40" s="25"/>
      <c r="H40" s="25"/>
    </row>
    <row r="41" spans="2:8" x14ac:dyDescent="0.2">
      <c r="B41" s="25" t="s">
        <v>153</v>
      </c>
      <c r="C41" s="2" t="str">
        <f>_xlfn.XLOOKUP($B41, '1.1 FY2016'!$B$5:$B$61,'1.1 FY2016'!C$5:C$61)</f>
        <v>Legal expenses</v>
      </c>
      <c r="D41" s="25">
        <f>_xlfn.XLOOKUP($B41, '1.1 FY2016'!$B$5:$B$61,'1.1 FY2016'!D$5:D$61)</f>
        <v>111111</v>
      </c>
      <c r="E41" s="2" t="str">
        <f>_xlfn.XLOOKUP($B41, '1.1 FY2016'!$B$5:$B$61,'1.1 FY2016'!E$5:E$61)</f>
        <v>External</v>
      </c>
      <c r="F41" s="25"/>
      <c r="G41" s="25"/>
      <c r="H41" s="25"/>
    </row>
    <row r="42" spans="2:8" x14ac:dyDescent="0.2">
      <c r="B42" s="25" t="s">
        <v>154</v>
      </c>
      <c r="C42" s="2" t="str">
        <f>_xlfn.XLOOKUP($B42, '1.1 FY2016'!$B$5:$B$61,'1.1 FY2016'!C$5:C$61)</f>
        <v>Misc costs</v>
      </c>
      <c r="D42" s="25">
        <f>_xlfn.XLOOKUP($B42, '1.1 FY2016'!$B$5:$B$61,'1.1 FY2016'!D$5:D$61)</f>
        <v>111101</v>
      </c>
      <c r="E42" s="2" t="str">
        <f>_xlfn.XLOOKUP($B42, '1.1 FY2016'!$B$5:$B$61,'1.1 FY2016'!E$5:E$61)</f>
        <v>Not assigned</v>
      </c>
      <c r="F42" s="25"/>
      <c r="G42" s="25"/>
      <c r="H42" s="25"/>
    </row>
    <row r="43" spans="2:8" x14ac:dyDescent="0.2">
      <c r="B43" s="25" t="s">
        <v>155</v>
      </c>
      <c r="C43" s="2" t="str">
        <f>_xlfn.XLOOKUP($B43, '1.1 FY2016'!$B$5:$B$61,'1.1 FY2016'!C$5:C$61)</f>
        <v>Consulting fees</v>
      </c>
      <c r="D43" s="25">
        <f>_xlfn.XLOOKUP($B43, '1.1 FY2016'!$B$5:$B$61,'1.1 FY2016'!D$5:D$61)</f>
        <v>111111</v>
      </c>
      <c r="E43" s="2" t="str">
        <f>_xlfn.XLOOKUP($B43, '1.1 FY2016'!$B$5:$B$61,'1.1 FY2016'!E$5:E$61)</f>
        <v>External</v>
      </c>
      <c r="F43" s="25"/>
      <c r="G43" s="25"/>
      <c r="H43" s="25"/>
    </row>
    <row r="44" spans="2:8" x14ac:dyDescent="0.2">
      <c r="B44" s="25" t="s">
        <v>156</v>
      </c>
      <c r="C44" s="2" t="str">
        <f>_xlfn.XLOOKUP($B44, '1.1 FY2016'!$B$5:$B$61,'1.1 FY2016'!C$5:C$61)</f>
        <v>Misc extraordinary expenses</v>
      </c>
      <c r="D44" s="25">
        <f>_xlfn.XLOOKUP($B44, '1.1 FY2016'!$B$5:$B$61,'1.1 FY2016'!D$5:D$61)</f>
        <v>105</v>
      </c>
      <c r="E44" s="2" t="str">
        <f>_xlfn.XLOOKUP($B44, '1.1 FY2016'!$B$5:$B$61,'1.1 FY2016'!E$5:E$61)</f>
        <v>Generco Healthcare Ltd</v>
      </c>
      <c r="F44" s="25"/>
      <c r="G44" s="25"/>
      <c r="H44" s="25"/>
    </row>
    <row r="45" spans="2:8" x14ac:dyDescent="0.2">
      <c r="B45" s="25" t="s">
        <v>157</v>
      </c>
      <c r="C45" s="2" t="str">
        <f>_xlfn.XLOOKUP($B45, '1.1 FY2016'!$B$5:$B$61,'1.1 FY2016'!C$5:C$61)</f>
        <v>Misc extraordinary expenses</v>
      </c>
      <c r="D45" s="25">
        <f>_xlfn.XLOOKUP($B45, '1.1 FY2016'!$B$5:$B$61,'1.1 FY2016'!D$5:D$61)</f>
        <v>111111</v>
      </c>
      <c r="E45" s="2" t="str">
        <f>_xlfn.XLOOKUP($B45, '1.1 FY2016'!$B$5:$B$61,'1.1 FY2016'!E$5:E$61)</f>
        <v>External</v>
      </c>
      <c r="F45" s="25"/>
      <c r="G45" s="25"/>
      <c r="H45" s="25"/>
    </row>
    <row r="46" spans="2:8" x14ac:dyDescent="0.2">
      <c r="B46" s="25" t="s">
        <v>158</v>
      </c>
      <c r="C46" s="2" t="str">
        <f>_xlfn.XLOOKUP($B46, '1.1 FY2016'!$B$5:$B$61,'1.1 FY2016'!C$5:C$61)</f>
        <v>Difference from eliminations</v>
      </c>
      <c r="D46" s="25">
        <f>_xlfn.XLOOKUP($B46, '1.1 FY2016'!$B$5:$B$61,'1.1 FY2016'!D$5:D$61)</f>
        <v>1009</v>
      </c>
      <c r="E46" s="2" t="str">
        <f>_xlfn.XLOOKUP($B46, '1.1 FY2016'!$B$5:$B$61,'1.1 FY2016'!E$5:E$61)</f>
        <v>Green Ventures Ltd</v>
      </c>
      <c r="F46" s="25"/>
      <c r="G46" s="25"/>
      <c r="H46" s="25"/>
    </row>
    <row r="47" spans="2:8" x14ac:dyDescent="0.2">
      <c r="B47" s="25" t="s">
        <v>159</v>
      </c>
      <c r="C47" s="2" t="str">
        <f>_xlfn.XLOOKUP($B47, '1.1 FY2016'!$B$5:$B$61,'1.1 FY2016'!C$5:C$61)</f>
        <v>Difference from eliminations</v>
      </c>
      <c r="D47" s="25">
        <f>_xlfn.XLOOKUP($B47, '1.1 FY2016'!$B$5:$B$61,'1.1 FY2016'!D$5:D$61)</f>
        <v>1007</v>
      </c>
      <c r="E47" s="2" t="str">
        <f>_xlfn.XLOOKUP($B47, '1.1 FY2016'!$B$5:$B$61,'1.1 FY2016'!E$5:E$61)</f>
        <v>Generco Sunshine JSC</v>
      </c>
      <c r="F47" s="25"/>
      <c r="G47" s="25"/>
      <c r="H47" s="25"/>
    </row>
    <row r="48" spans="2:8" x14ac:dyDescent="0.2">
      <c r="B48" s="25" t="s">
        <v>160</v>
      </c>
      <c r="C48" s="2" t="str">
        <f>_xlfn.XLOOKUP($B48, '1.1 FY2016'!$B$5:$B$61,'1.1 FY2016'!C$5:C$61)</f>
        <v>Difference from eliminations</v>
      </c>
      <c r="D48" s="25">
        <f>_xlfn.XLOOKUP($B48, '1.1 FY2016'!$B$5:$B$61,'1.1 FY2016'!D$5:D$61)</f>
        <v>1008</v>
      </c>
      <c r="E48" s="2" t="str">
        <f>_xlfn.XLOOKUP($B48, '1.1 FY2016'!$B$5:$B$61,'1.1 FY2016'!E$5:E$61)</f>
        <v>Greenco Ltd</v>
      </c>
      <c r="F48" s="25"/>
      <c r="G48" s="25"/>
      <c r="H48" s="25"/>
    </row>
    <row r="49" spans="2:8" x14ac:dyDescent="0.2">
      <c r="B49" s="25" t="s">
        <v>161</v>
      </c>
      <c r="C49" s="2" t="str">
        <f>_xlfn.XLOOKUP($B49, '1.1 FY2016'!$B$5:$B$61,'1.1 FY2016'!C$5:C$61)</f>
        <v>Interest income</v>
      </c>
      <c r="D49" s="25">
        <f>_xlfn.XLOOKUP($B49, '1.1 FY2016'!$B$5:$B$61,'1.1 FY2016'!D$5:D$61)</f>
        <v>1009</v>
      </c>
      <c r="E49" s="2" t="str">
        <f>_xlfn.XLOOKUP($B49, '1.1 FY2016'!$B$5:$B$61,'1.1 FY2016'!E$5:E$61)</f>
        <v>Green Ventures Ltd</v>
      </c>
      <c r="F49" s="25"/>
      <c r="G49" s="25"/>
      <c r="H49" s="25"/>
    </row>
    <row r="50" spans="2:8" x14ac:dyDescent="0.2">
      <c r="B50" s="25" t="s">
        <v>162</v>
      </c>
      <c r="C50" s="2" t="str">
        <f>_xlfn.XLOOKUP($B50, '1.1 FY2016'!$B$5:$B$61,'1.1 FY2016'!C$5:C$61)</f>
        <v>Interest income</v>
      </c>
      <c r="D50" s="25">
        <f>_xlfn.XLOOKUP($B50, '1.1 FY2016'!$B$5:$B$61,'1.1 FY2016'!D$5:D$61)</f>
        <v>1007</v>
      </c>
      <c r="E50" s="2" t="str">
        <f>_xlfn.XLOOKUP($B50, '1.1 FY2016'!$B$5:$B$61,'1.1 FY2016'!E$5:E$61)</f>
        <v>Generco Sunshine JSC</v>
      </c>
      <c r="F50" s="25"/>
      <c r="G50" s="25"/>
      <c r="H50" s="25"/>
    </row>
    <row r="51" spans="2:8" x14ac:dyDescent="0.2">
      <c r="B51" s="25" t="s">
        <v>163</v>
      </c>
      <c r="C51" s="2" t="str">
        <f>_xlfn.XLOOKUP($B51, '1.1 FY2016'!$B$5:$B$61,'1.1 FY2016'!C$5:C$61)</f>
        <v>Interest income</v>
      </c>
      <c r="D51" s="25">
        <f>_xlfn.XLOOKUP($B51, '1.1 FY2016'!$B$5:$B$61,'1.1 FY2016'!D$5:D$61)</f>
        <v>1008</v>
      </c>
      <c r="E51" s="2" t="str">
        <f>_xlfn.XLOOKUP($B51, '1.1 FY2016'!$B$5:$B$61,'1.1 FY2016'!E$5:E$61)</f>
        <v>Greenco Ltd</v>
      </c>
      <c r="F51" s="25"/>
      <c r="G51" s="25"/>
      <c r="H51" s="25"/>
    </row>
    <row r="52" spans="2:8" x14ac:dyDescent="0.2">
      <c r="B52" s="25" t="s">
        <v>164</v>
      </c>
      <c r="C52" s="2" t="str">
        <f>_xlfn.XLOOKUP($B52, '1.1 FY2016'!$B$5:$B$61,'1.1 FY2016'!C$5:C$61)</f>
        <v>Interest income</v>
      </c>
      <c r="D52" s="25">
        <f>_xlfn.XLOOKUP($B52, '1.1 FY2016'!$B$5:$B$61,'1.1 FY2016'!D$5:D$61)</f>
        <v>1240</v>
      </c>
      <c r="E52" s="2" t="str">
        <f>_xlfn.XLOOKUP($B52, '1.1 FY2016'!$B$5:$B$61,'1.1 FY2016'!E$5:E$61)</f>
        <v xml:space="preserve">Generco UK </v>
      </c>
      <c r="F52" s="25"/>
      <c r="G52" s="25"/>
      <c r="H52" s="25"/>
    </row>
    <row r="53" spans="2:8" x14ac:dyDescent="0.2">
      <c r="B53" s="25" t="s">
        <v>165</v>
      </c>
      <c r="C53" s="2" t="str">
        <f>_xlfn.XLOOKUP($B53, '1.1 FY2016'!$B$5:$B$61,'1.1 FY2016'!C$5:C$61)</f>
        <v>Interest income</v>
      </c>
      <c r="D53" s="25">
        <f>_xlfn.XLOOKUP($B53, '1.1 FY2016'!$B$5:$B$61,'1.1 FY2016'!D$5:D$61)</f>
        <v>111111</v>
      </c>
      <c r="E53" s="2" t="str">
        <f>_xlfn.XLOOKUP($B53, '1.1 FY2016'!$B$5:$B$61,'1.1 FY2016'!E$5:E$61)</f>
        <v>External</v>
      </c>
      <c r="F53" s="25"/>
      <c r="G53" s="25"/>
      <c r="H53" s="25"/>
    </row>
    <row r="54" spans="2:8" x14ac:dyDescent="0.2">
      <c r="B54" s="25" t="s">
        <v>166</v>
      </c>
      <c r="C54" s="2" t="str">
        <f>_xlfn.XLOOKUP($B54, '1.1 FY2016'!$B$5:$B$61,'1.1 FY2016'!C$5:C$61)</f>
        <v>Capitalized interest</v>
      </c>
      <c r="D54" s="25">
        <f>_xlfn.XLOOKUP($B54, '1.1 FY2016'!$B$5:$B$61,'1.1 FY2016'!D$5:D$61)</f>
        <v>111101</v>
      </c>
      <c r="E54" s="2" t="str">
        <f>_xlfn.XLOOKUP($B54, '1.1 FY2016'!$B$5:$B$61,'1.1 FY2016'!E$5:E$61)</f>
        <v>Not assigned</v>
      </c>
      <c r="F54" s="25"/>
      <c r="G54" s="25"/>
      <c r="H54" s="25"/>
    </row>
    <row r="55" spans="2:8" x14ac:dyDescent="0.2">
      <c r="B55" s="25" t="s">
        <v>167</v>
      </c>
      <c r="C55" s="2" t="str">
        <f>_xlfn.XLOOKUP($B55, '1.1 FY2016'!$B$5:$B$61,'1.1 FY2016'!C$5:C$61)</f>
        <v>Non-recurring costs</v>
      </c>
      <c r="D55" s="25">
        <f>_xlfn.XLOOKUP($B55, '1.1 FY2016'!$B$5:$B$61,'1.1 FY2016'!D$5:D$61)</f>
        <v>111101</v>
      </c>
      <c r="E55" s="2" t="str">
        <f>_xlfn.XLOOKUP($B55, '1.1 FY2016'!$B$5:$B$61,'1.1 FY2016'!E$5:E$61)</f>
        <v>Not assigned</v>
      </c>
      <c r="F55" s="25"/>
      <c r="G55" s="25"/>
      <c r="H55" s="25"/>
    </row>
    <row r="56" spans="2:8" x14ac:dyDescent="0.2">
      <c r="B56" s="25" t="s">
        <v>168</v>
      </c>
      <c r="C56" s="2" t="str">
        <f>_xlfn.XLOOKUP($B56, '1.1 FY2016'!$B$5:$B$61,'1.1 FY2016'!C$5:C$61)</f>
        <v>Interest expenses</v>
      </c>
      <c r="D56" s="25">
        <f>_xlfn.XLOOKUP($B56, '1.1 FY2016'!$B$5:$B$61,'1.1 FY2016'!D$5:D$61)</f>
        <v>88</v>
      </c>
      <c r="E56" s="2" t="str">
        <f>_xlfn.XLOOKUP($B56, '1.1 FY2016'!$B$5:$B$61,'1.1 FY2016'!E$5:E$61)</f>
        <v>Generco Ltd</v>
      </c>
      <c r="F56" s="25"/>
      <c r="G56" s="25"/>
      <c r="H56" s="25"/>
    </row>
    <row r="57" spans="2:8" x14ac:dyDescent="0.2">
      <c r="B57" s="25" t="s">
        <v>169</v>
      </c>
      <c r="C57" s="2" t="str">
        <f>_xlfn.XLOOKUP($B57, '1.1 FY2016'!$B$5:$B$61,'1.1 FY2016'!C$5:C$61)</f>
        <v>Current taxes</v>
      </c>
      <c r="D57" s="25">
        <f>_xlfn.XLOOKUP($B57, '1.1 FY2016'!$B$5:$B$61,'1.1 FY2016'!D$5:D$61)</f>
        <v>111101</v>
      </c>
      <c r="E57" s="2" t="str">
        <f>_xlfn.XLOOKUP($B57, '1.1 FY2016'!$B$5:$B$61,'1.1 FY2016'!E$5:E$61)</f>
        <v>Not assigned</v>
      </c>
      <c r="F57" s="25"/>
      <c r="G57" s="25"/>
      <c r="H57" s="25"/>
    </row>
    <row r="58" spans="2:8" x14ac:dyDescent="0.2">
      <c r="B58" s="25" t="s">
        <v>170</v>
      </c>
      <c r="C58" s="2" t="str">
        <f>_xlfn.XLOOKUP($B58, '1.1 FY2016'!$B$5:$B$61,'1.1 FY2016'!C$5:C$61)</f>
        <v>Regional taxes</v>
      </c>
      <c r="D58" s="25">
        <f>_xlfn.XLOOKUP($B58, '1.1 FY2016'!$B$5:$B$61,'1.1 FY2016'!D$5:D$61)</f>
        <v>111101</v>
      </c>
      <c r="E58" s="2" t="str">
        <f>_xlfn.XLOOKUP($B58, '1.1 FY2016'!$B$5:$B$61,'1.1 FY2016'!E$5:E$61)</f>
        <v>Not assigned</v>
      </c>
      <c r="F58" s="25"/>
      <c r="G58" s="25"/>
      <c r="H58" s="25"/>
    </row>
    <row r="59" spans="2:8" x14ac:dyDescent="0.2">
      <c r="B59" s="25" t="s">
        <v>171</v>
      </c>
      <c r="C59" s="2" t="str">
        <f>_xlfn.XLOOKUP($B59, '1.1 FY2016'!$B$5:$B$61,'1.1 FY2016'!C$5:C$61)</f>
        <v>Deferred taxes</v>
      </c>
      <c r="D59" s="25">
        <f>_xlfn.XLOOKUP($B59, '1.1 FY2016'!$B$5:$B$61,'1.1 FY2016'!D$5:D$61)</f>
        <v>111101</v>
      </c>
      <c r="E59" s="2" t="str">
        <f>_xlfn.XLOOKUP($B59, '1.1 FY2016'!$B$5:$B$61,'1.1 FY2016'!E$5:E$61)</f>
        <v>Not assigned</v>
      </c>
      <c r="F59" s="25"/>
      <c r="G59" s="25"/>
      <c r="H59" s="25"/>
    </row>
    <row r="60" spans="2:8" x14ac:dyDescent="0.2">
      <c r="B60" s="25" t="s">
        <v>172</v>
      </c>
      <c r="C60" s="2" t="str">
        <f>_xlfn.XLOOKUP($B60, '1.1 FY2016'!$B$5:$B$61,'1.1 FY2016'!C$5:C$61)</f>
        <v>Net income/(loss)</v>
      </c>
      <c r="D60" s="25">
        <f>_xlfn.XLOOKUP($B60, '1.1 FY2016'!$B$5:$B$61,'1.1 FY2016'!D$5:D$61)</f>
        <v>111101</v>
      </c>
      <c r="E60" s="2" t="str">
        <f>_xlfn.XLOOKUP($B60, '1.1 FY2016'!$B$5:$B$61,'1.1 FY2016'!E$5:E$61)</f>
        <v>Not assigned</v>
      </c>
      <c r="F60" s="25"/>
      <c r="G60" s="25"/>
      <c r="H60" s="25"/>
    </row>
    <row r="61" spans="2:8" x14ac:dyDescent="0.2">
      <c r="B61" s="25" t="s">
        <v>173</v>
      </c>
      <c r="C61" s="2" t="str">
        <f>_xlfn.XLOOKUP($B61, '1.2 FY2017'!$B$5:$B$86, '1.2 FY2017'!C$5:C$86)</f>
        <v>Core business revenues</v>
      </c>
      <c r="D61" s="25">
        <f>_xlfn.XLOOKUP($B61, '1.2 FY2017'!$B$5:$B$86, '1.2 FY2017'!D$5:D$86)</f>
        <v>105</v>
      </c>
      <c r="E61" s="2" t="str">
        <f>_xlfn.XLOOKUP($B61, '1.2 FY2017'!$B$5:$B$86, '1.2 FY2017'!E$5:E$86)</f>
        <v>Generco Healthcare Ltd</v>
      </c>
      <c r="F61" s="25"/>
      <c r="G61" s="25"/>
      <c r="H61" s="25"/>
    </row>
    <row r="62" spans="2:8" x14ac:dyDescent="0.2">
      <c r="B62" s="25" t="s">
        <v>174</v>
      </c>
      <c r="C62" s="2" t="str">
        <f>_xlfn.XLOOKUP($B62, '1.2 FY2017'!$B$5:$B$86, '1.2 FY2017'!C$5:C$86)</f>
        <v>Capitalized costs</v>
      </c>
      <c r="D62" s="25" t="str">
        <f>_xlfn.XLOOKUP($B62, '1.2 FY2017'!$B$5:$B$86, '1.2 FY2017'!D$5:D$86)</f>
        <v>1086</v>
      </c>
      <c r="E62" s="2" t="str">
        <f>_xlfn.XLOOKUP($B62, '1.2 FY2017'!$B$5:$B$86, '1.2 FY2017'!E$5:E$86)</f>
        <v>G&amp;Resources Ltd</v>
      </c>
      <c r="F62" s="25"/>
      <c r="G62" s="25"/>
      <c r="H62" s="25"/>
    </row>
    <row r="63" spans="2:8" x14ac:dyDescent="0.2">
      <c r="B63" s="25" t="s">
        <v>175</v>
      </c>
      <c r="C63" s="2" t="str">
        <f>_xlfn.XLOOKUP($B63, '1.2 FY2017'!$B$5:$B$86, '1.2 FY2017'!C$5:C$86)</f>
        <v>Utility charges</v>
      </c>
      <c r="D63" s="25">
        <f>_xlfn.XLOOKUP($B63, '1.2 FY2017'!$B$5:$B$86, '1.2 FY2017'!D$5:D$86)</f>
        <v>111111</v>
      </c>
      <c r="E63" s="2" t="str">
        <f>_xlfn.XLOOKUP($B63, '1.2 FY2017'!$B$5:$B$86, '1.2 FY2017'!E$5:E$86)</f>
        <v>External</v>
      </c>
      <c r="F63" s="25"/>
      <c r="G63" s="25"/>
      <c r="H63" s="25"/>
    </row>
    <row r="64" spans="2:8" x14ac:dyDescent="0.2">
      <c r="B64" s="25" t="s">
        <v>176</v>
      </c>
      <c r="C64" s="2" t="str">
        <f>_xlfn.XLOOKUP($B64, '1.2 FY2017'!$B$5:$B$86, '1.2 FY2017'!C$5:C$86)</f>
        <v>R&amp;D expenses</v>
      </c>
      <c r="D64" s="25">
        <f>_xlfn.XLOOKUP($B64, '1.2 FY2017'!$B$5:$B$86, '1.2 FY2017'!D$5:D$86)</f>
        <v>19</v>
      </c>
      <c r="E64" s="2" t="str">
        <f>_xlfn.XLOOKUP($B64, '1.2 FY2017'!$B$5:$B$86, '1.2 FY2017'!E$5:E$86)</f>
        <v>Generco Cosmetics Ltd</v>
      </c>
      <c r="F64" s="25"/>
      <c r="G64" s="25"/>
      <c r="H64" s="25"/>
    </row>
    <row r="65" spans="2:8" x14ac:dyDescent="0.2">
      <c r="B65" s="25" t="s">
        <v>177</v>
      </c>
      <c r="C65" s="2" t="str">
        <f>_xlfn.XLOOKUP($B65, '1.2 FY2017'!$B$5:$B$86, '1.2 FY2017'!C$5:C$86)</f>
        <v>R&amp;D expenses</v>
      </c>
      <c r="D65" s="25" t="str">
        <f>_xlfn.XLOOKUP($B65, '1.2 FY2017'!$B$5:$B$86, '1.2 FY2017'!D$5:D$86)</f>
        <v>1283</v>
      </c>
      <c r="E65" s="2" t="str">
        <f>_xlfn.XLOOKUP($B65, '1.2 FY2017'!$B$5:$B$86, '1.2 FY2017'!E$5:E$86)</f>
        <v>Generco Ventures Ltd</v>
      </c>
      <c r="F65" s="25"/>
      <c r="G65" s="25"/>
      <c r="H65" s="25"/>
    </row>
    <row r="66" spans="2:8" x14ac:dyDescent="0.2">
      <c r="B66" s="25" t="s">
        <v>178</v>
      </c>
      <c r="C66" s="2" t="str">
        <f>_xlfn.XLOOKUP($B66, '1.2 FY2017'!$B$5:$B$86, '1.2 FY2017'!C$5:C$86)</f>
        <v>R&amp;D expenses</v>
      </c>
      <c r="D66" s="25" t="str">
        <f>_xlfn.XLOOKUP($B66, '1.2 FY2017'!$B$5:$B$86, '1.2 FY2017'!D$5:D$86)</f>
        <v>1924</v>
      </c>
      <c r="E66" s="2" t="str">
        <f>_xlfn.XLOOKUP($B66, '1.2 FY2017'!$B$5:$B$86, '1.2 FY2017'!E$5:E$86)</f>
        <v>Generco Infrastructure Ltd</v>
      </c>
      <c r="F66" s="25"/>
      <c r="G66" s="25"/>
      <c r="H66" s="25"/>
    </row>
    <row r="67" spans="2:8" x14ac:dyDescent="0.2">
      <c r="B67" s="25" t="s">
        <v>179</v>
      </c>
      <c r="C67" s="2" t="str">
        <f>_xlfn.XLOOKUP($B67, '1.2 FY2017'!$B$5:$B$86, '1.2 FY2017'!C$5:C$86)</f>
        <v>R&amp;D expenses</v>
      </c>
      <c r="D67" s="25" t="str">
        <f>_xlfn.XLOOKUP($B67, '1.2 FY2017'!$B$5:$B$86, '1.2 FY2017'!D$5:D$86)</f>
        <v>2486</v>
      </c>
      <c r="E67" s="2" t="str">
        <f>_xlfn.XLOOKUP($B67, '1.2 FY2017'!$B$5:$B$86, '1.2 FY2017'!E$5:E$86)</f>
        <v>Generco Exloration Ltd</v>
      </c>
      <c r="F67" s="25"/>
      <c r="G67" s="25"/>
      <c r="H67" s="25"/>
    </row>
    <row r="68" spans="2:8" x14ac:dyDescent="0.2">
      <c r="B68" s="25" t="s">
        <v>180</v>
      </c>
      <c r="C68" s="2" t="str">
        <f>_xlfn.XLOOKUP($B68, '1.2 FY2017'!$B$5:$B$86, '1.2 FY2017'!C$5:C$86)</f>
        <v>Other personnel expenses</v>
      </c>
      <c r="D68" s="25">
        <f>_xlfn.XLOOKUP($B68, '1.2 FY2017'!$B$5:$B$86, '1.2 FY2017'!D$5:D$86)</f>
        <v>111101</v>
      </c>
      <c r="E68" s="2" t="str">
        <f>_xlfn.XLOOKUP($B68, '1.2 FY2017'!$B$5:$B$86, '1.2 FY2017'!E$5:E$86)</f>
        <v>Not assigned</v>
      </c>
      <c r="F68" s="25"/>
      <c r="G68" s="25"/>
      <c r="H68" s="25"/>
    </row>
    <row r="69" spans="2:8" x14ac:dyDescent="0.2">
      <c r="B69" s="25" t="s">
        <v>181</v>
      </c>
      <c r="C69" s="2" t="str">
        <f>_xlfn.XLOOKUP($B69, '1.2 FY2017'!$B$5:$B$86, '1.2 FY2017'!C$5:C$86)</f>
        <v>D&amp;A</v>
      </c>
      <c r="D69" s="25">
        <f>_xlfn.XLOOKUP($B69, '1.2 FY2017'!$B$5:$B$86, '1.2 FY2017'!D$5:D$86)</f>
        <v>111101</v>
      </c>
      <c r="E69" s="2" t="str">
        <f>_xlfn.XLOOKUP($B69, '1.2 FY2017'!$B$5:$B$86, '1.2 FY2017'!E$5:E$86)</f>
        <v>Not assigned</v>
      </c>
      <c r="F69" s="25"/>
      <c r="G69" s="25"/>
      <c r="H69" s="25"/>
    </row>
    <row r="70" spans="2:8" x14ac:dyDescent="0.2">
      <c r="B70" s="25" t="s">
        <v>182</v>
      </c>
      <c r="C70" s="2" t="str">
        <f>_xlfn.XLOOKUP($B70, '1.2 FY2017'!$B$5:$B$86, '1.2 FY2017'!C$5:C$86)</f>
        <v>Gains from disposal of PP&amp;E</v>
      </c>
      <c r="D70" s="25">
        <f>_xlfn.XLOOKUP($B70, '1.2 FY2017'!$B$5:$B$86, '1.2 FY2017'!D$5:D$86)</f>
        <v>111111</v>
      </c>
      <c r="E70" s="2" t="str">
        <f>_xlfn.XLOOKUP($B70, '1.2 FY2017'!$B$5:$B$86, '1.2 FY2017'!E$5:E$86)</f>
        <v>External</v>
      </c>
      <c r="F70" s="25"/>
      <c r="G70" s="25"/>
      <c r="H70" s="25"/>
    </row>
    <row r="71" spans="2:8" x14ac:dyDescent="0.2">
      <c r="B71" s="25" t="s">
        <v>183</v>
      </c>
      <c r="C71" s="2" t="str">
        <f>_xlfn.XLOOKUP($B71, '1.2 FY2017'!$B$5:$B$86, '1.2 FY2017'!C$5:C$86)</f>
        <v>Corporate recharges</v>
      </c>
      <c r="D71" s="25">
        <f>_xlfn.XLOOKUP($B71, '1.2 FY2017'!$B$5:$B$86, '1.2 FY2017'!D$5:D$86)</f>
        <v>19</v>
      </c>
      <c r="E71" s="2" t="str">
        <f>_xlfn.XLOOKUP($B71, '1.2 FY2017'!$B$5:$B$86, '1.2 FY2017'!E$5:E$86)</f>
        <v>Generco Cosmetics Ltd</v>
      </c>
      <c r="F71" s="25"/>
      <c r="G71" s="25"/>
      <c r="H71" s="25"/>
    </row>
    <row r="72" spans="2:8" x14ac:dyDescent="0.2">
      <c r="B72" s="25" t="s">
        <v>184</v>
      </c>
      <c r="C72" s="2" t="str">
        <f>_xlfn.XLOOKUP($B72, '1.2 FY2017'!$B$5:$B$86, '1.2 FY2017'!C$5:C$86)</f>
        <v>Corporate recharges</v>
      </c>
      <c r="D72" s="25" t="str">
        <f>_xlfn.XLOOKUP($B72, '1.2 FY2017'!$B$5:$B$86, '1.2 FY2017'!D$5:D$86)</f>
        <v>1076</v>
      </c>
      <c r="E72" s="2" t="str">
        <f>_xlfn.XLOOKUP($B72, '1.2 FY2017'!$B$5:$B$86, '1.2 FY2017'!E$5:E$86)</f>
        <v>Generco Trading Ltd</v>
      </c>
      <c r="F72" s="25"/>
      <c r="G72" s="25"/>
      <c r="H72" s="25"/>
    </row>
    <row r="73" spans="2:8" x14ac:dyDescent="0.2">
      <c r="B73" s="25" t="s">
        <v>185</v>
      </c>
      <c r="C73" s="2" t="str">
        <f>_xlfn.XLOOKUP($B73, '1.2 FY2017'!$B$5:$B$86, '1.2 FY2017'!C$5:C$86)</f>
        <v>Corporate recharges</v>
      </c>
      <c r="D73" s="25" t="str">
        <f>_xlfn.XLOOKUP($B73, '1.2 FY2017'!$B$5:$B$86, '1.2 FY2017'!D$5:D$86)</f>
        <v>1086</v>
      </c>
      <c r="E73" s="2" t="str">
        <f>_xlfn.XLOOKUP($B73, '1.2 FY2017'!$B$5:$B$86, '1.2 FY2017'!E$5:E$86)</f>
        <v>G&amp;Resources Ltd</v>
      </c>
      <c r="F73" s="25"/>
      <c r="G73" s="25"/>
      <c r="H73" s="25"/>
    </row>
    <row r="74" spans="2:8" x14ac:dyDescent="0.2">
      <c r="B74" s="25" t="s">
        <v>186</v>
      </c>
      <c r="C74" s="2" t="str">
        <f>_xlfn.XLOOKUP($B74, '1.2 FY2017'!$B$5:$B$86, '1.2 FY2017'!C$5:C$86)</f>
        <v>Corporate recharges</v>
      </c>
      <c r="D74" s="25" t="str">
        <f>_xlfn.XLOOKUP($B74, '1.2 FY2017'!$B$5:$B$86, '1.2 FY2017'!D$5:D$86)</f>
        <v>47037</v>
      </c>
      <c r="E74" s="2" t="str">
        <f>_xlfn.XLOOKUP($B74, '1.2 FY2017'!$B$5:$B$86, '1.2 FY2017'!E$5:E$86)</f>
        <v>G&amp;CR Global Ltd</v>
      </c>
      <c r="F74" s="25"/>
      <c r="G74" s="25"/>
      <c r="H74" s="25"/>
    </row>
    <row r="75" spans="2:8" x14ac:dyDescent="0.2">
      <c r="B75" s="25" t="s">
        <v>187</v>
      </c>
      <c r="C75" s="2" t="str">
        <f>_xlfn.XLOOKUP($B75, '1.2 FY2017'!$B$5:$B$86, '1.2 FY2017'!C$5:C$86)</f>
        <v>Other income</v>
      </c>
      <c r="D75" s="25">
        <f>_xlfn.XLOOKUP($B75, '1.2 FY2017'!$B$5:$B$86, '1.2 FY2017'!D$5:D$86)</f>
        <v>88</v>
      </c>
      <c r="E75" s="2" t="str">
        <f>_xlfn.XLOOKUP($B75, '1.2 FY2017'!$B$5:$B$86, '1.2 FY2017'!E$5:E$86)</f>
        <v>Generco Ltd</v>
      </c>
      <c r="F75" s="25"/>
      <c r="G75" s="25"/>
      <c r="H75" s="25"/>
    </row>
    <row r="76" spans="2:8" x14ac:dyDescent="0.2">
      <c r="B76" s="25" t="s">
        <v>188</v>
      </c>
      <c r="C76" s="2" t="str">
        <f>_xlfn.XLOOKUP($B76, '1.2 FY2017'!$B$5:$B$86, '1.2 FY2017'!C$5:C$86)</f>
        <v>Concession fees other</v>
      </c>
      <c r="D76" s="25">
        <f>_xlfn.XLOOKUP($B76, '1.2 FY2017'!$B$5:$B$86, '1.2 FY2017'!D$5:D$86)</f>
        <v>111101</v>
      </c>
      <c r="E76" s="2" t="str">
        <f>_xlfn.XLOOKUP($B76, '1.2 FY2017'!$B$5:$B$86, '1.2 FY2017'!E$5:E$86)</f>
        <v>Not assigned</v>
      </c>
      <c r="F76" s="25"/>
      <c r="G76" s="25"/>
      <c r="H76" s="25"/>
    </row>
    <row r="77" spans="2:8" x14ac:dyDescent="0.2">
      <c r="B77" s="25" t="s">
        <v>189</v>
      </c>
      <c r="C77" s="2" t="str">
        <f>_xlfn.XLOOKUP($B77, '1.2 FY2017'!$B$5:$B$86, '1.2 FY2017'!C$5:C$86)</f>
        <v>Service expenses</v>
      </c>
      <c r="D77" s="25">
        <f>_xlfn.XLOOKUP($B77, '1.2 FY2017'!$B$5:$B$86, '1.2 FY2017'!D$5:D$86)</f>
        <v>105</v>
      </c>
      <c r="E77" s="2" t="str">
        <f>_xlfn.XLOOKUP($B77, '1.2 FY2017'!$B$5:$B$86, '1.2 FY2017'!E$5:E$86)</f>
        <v>Generco Healthcare Ltd</v>
      </c>
      <c r="F77" s="25"/>
      <c r="G77" s="25"/>
      <c r="H77" s="25"/>
    </row>
    <row r="78" spans="2:8" x14ac:dyDescent="0.2">
      <c r="B78" s="25" t="s">
        <v>190</v>
      </c>
      <c r="C78" s="2" t="str">
        <f>_xlfn.XLOOKUP($B78, '1.2 FY2017'!$B$5:$B$86, '1.2 FY2017'!C$5:C$86)</f>
        <v>Insurance expenses</v>
      </c>
      <c r="D78" s="25">
        <f>_xlfn.XLOOKUP($B78, '1.2 FY2017'!$B$5:$B$86, '1.2 FY2017'!D$5:D$86)</f>
        <v>1900</v>
      </c>
      <c r="E78" s="2" t="str">
        <f>_xlfn.XLOOKUP($B78, '1.2 FY2017'!$B$5:$B$86, '1.2 FY2017'!E$5:E$86)</f>
        <v>Generco Metals Gm</v>
      </c>
      <c r="F78" s="25"/>
      <c r="G78" s="25"/>
      <c r="H78" s="25"/>
    </row>
    <row r="79" spans="2:8" x14ac:dyDescent="0.2">
      <c r="B79" s="25" t="s">
        <v>191</v>
      </c>
      <c r="C79" s="2" t="str">
        <f>_xlfn.XLOOKUP($B79, '1.2 FY2017'!$B$5:$B$86, '1.2 FY2017'!C$5:C$86)</f>
        <v>Travel expenses</v>
      </c>
      <c r="D79" s="25" t="str">
        <f>_xlfn.XLOOKUP($B79, '1.2 FY2017'!$B$5:$B$86, '1.2 FY2017'!D$5:D$86)</f>
        <v>1118</v>
      </c>
      <c r="E79" s="2" t="str">
        <f>_xlfn.XLOOKUP($B79, '1.2 FY2017'!$B$5:$B$86, '1.2 FY2017'!E$5:E$86)</f>
        <v>Gener Green LLC</v>
      </c>
      <c r="F79" s="25"/>
      <c r="G79" s="25"/>
      <c r="H79" s="25"/>
    </row>
    <row r="80" spans="2:8" x14ac:dyDescent="0.2">
      <c r="B80" s="25" t="s">
        <v>192</v>
      </c>
      <c r="C80" s="2" t="str">
        <f>_xlfn.XLOOKUP($B80, '1.2 FY2017'!$B$5:$B$86, '1.2 FY2017'!C$5:C$86)</f>
        <v>Losses fr disposal of PPE</v>
      </c>
      <c r="D80" s="25">
        <f>_xlfn.XLOOKUP($B80, '1.2 FY2017'!$B$5:$B$86, '1.2 FY2017'!D$5:D$86)</f>
        <v>111111</v>
      </c>
      <c r="E80" s="2" t="str">
        <f>_xlfn.XLOOKUP($B80, '1.2 FY2017'!$B$5:$B$86, '1.2 FY2017'!E$5:E$86)</f>
        <v>External</v>
      </c>
      <c r="F80" s="25"/>
      <c r="G80" s="25"/>
      <c r="H80" s="25"/>
    </row>
    <row r="81" spans="2:8" x14ac:dyDescent="0.2">
      <c r="B81" s="25" t="s">
        <v>193</v>
      </c>
      <c r="C81" s="2" t="str">
        <f>_xlfn.XLOOKUP($B81, '1.2 FY2017'!$B$5:$B$86, '1.2 FY2017'!C$5:C$86)</f>
        <v>Other operative currency differences</v>
      </c>
      <c r="D81" s="25">
        <f>_xlfn.XLOOKUP($B81, '1.2 FY2017'!$B$5:$B$86, '1.2 FY2017'!D$5:D$86)</f>
        <v>19</v>
      </c>
      <c r="E81" s="2" t="str">
        <f>_xlfn.XLOOKUP($B81, '1.2 FY2017'!$B$5:$B$86, '1.2 FY2017'!E$5:E$86)</f>
        <v>Generco Cosmetics Ltd</v>
      </c>
      <c r="F81" s="25"/>
      <c r="G81" s="25"/>
      <c r="H81" s="25"/>
    </row>
    <row r="82" spans="2:8" x14ac:dyDescent="0.2">
      <c r="B82" s="25" t="s">
        <v>194</v>
      </c>
      <c r="C82" s="2" t="str">
        <f>_xlfn.XLOOKUP($B82, '1.2 FY2017'!$B$5:$B$86, '1.2 FY2017'!C$5:C$86)</f>
        <v>Other operative currency differences</v>
      </c>
      <c r="D82" s="25">
        <f>_xlfn.XLOOKUP($B82, '1.2 FY2017'!$B$5:$B$86, '1.2 FY2017'!D$5:D$86)</f>
        <v>111111</v>
      </c>
      <c r="E82" s="2" t="str">
        <f>_xlfn.XLOOKUP($B82, '1.2 FY2017'!$B$5:$B$86, '1.2 FY2017'!E$5:E$86)</f>
        <v>External</v>
      </c>
      <c r="F82" s="25"/>
      <c r="G82" s="25"/>
      <c r="H82" s="25"/>
    </row>
    <row r="83" spans="2:8" x14ac:dyDescent="0.2">
      <c r="B83" s="25" t="s">
        <v>195</v>
      </c>
      <c r="C83" s="2" t="str">
        <f>_xlfn.XLOOKUP($B83, '1.2 FY2017'!$B$5:$B$86, '1.2 FY2017'!C$5:C$86)</f>
        <v>Property tax</v>
      </c>
      <c r="D83" s="25">
        <f>_xlfn.XLOOKUP($B83, '1.2 FY2017'!$B$5:$B$86, '1.2 FY2017'!D$5:D$86)</f>
        <v>111111</v>
      </c>
      <c r="E83" s="2" t="str">
        <f>_xlfn.XLOOKUP($B83, '1.2 FY2017'!$B$5:$B$86, '1.2 FY2017'!E$5:E$86)</f>
        <v>External</v>
      </c>
      <c r="F83" s="25"/>
      <c r="G83" s="25"/>
      <c r="H83" s="25"/>
    </row>
    <row r="84" spans="2:8" x14ac:dyDescent="0.2">
      <c r="B84" s="25" t="s">
        <v>196</v>
      </c>
      <c r="C84" s="2" t="str">
        <f>_xlfn.XLOOKUP($B84, '1.2 FY2017'!$B$5:$B$86, '1.2 FY2017'!C$5:C$86)</f>
        <v>Misc extraordinary expenses</v>
      </c>
      <c r="D84" s="25">
        <f>_xlfn.XLOOKUP($B84, '1.2 FY2017'!$B$5:$B$86, '1.2 FY2017'!D$5:D$86)</f>
        <v>19</v>
      </c>
      <c r="E84" s="2" t="str">
        <f>_xlfn.XLOOKUP($B84, '1.2 FY2017'!$B$5:$B$86, '1.2 FY2017'!E$5:E$86)</f>
        <v>Generco Cosmetics Ltd</v>
      </c>
      <c r="F84" s="25"/>
      <c r="G84" s="25"/>
      <c r="H84" s="25"/>
    </row>
    <row r="85" spans="2:8" x14ac:dyDescent="0.2">
      <c r="B85" s="25" t="s">
        <v>197</v>
      </c>
      <c r="C85" s="2" t="str">
        <f>_xlfn.XLOOKUP($B85, '1.2 FY2017'!$B$5:$B$86, '1.2 FY2017'!C$5:C$86)</f>
        <v>Misc extraordinary expenses</v>
      </c>
      <c r="D85" s="25" t="str">
        <f>_xlfn.XLOOKUP($B85, '1.2 FY2017'!$B$5:$B$86, '1.2 FY2017'!D$5:D$86)</f>
        <v>43</v>
      </c>
      <c r="E85" s="2" t="str">
        <f>_xlfn.XLOOKUP($B85, '1.2 FY2017'!$B$5:$B$86, '1.2 FY2017'!E$5:E$86)</f>
        <v>Greeny France SL</v>
      </c>
      <c r="F85" s="25"/>
      <c r="G85" s="25"/>
      <c r="H85" s="25"/>
    </row>
    <row r="86" spans="2:8" x14ac:dyDescent="0.2">
      <c r="B86" s="25" t="s">
        <v>198</v>
      </c>
      <c r="C86" s="2" t="str">
        <f>_xlfn.XLOOKUP($B86, '1.2 FY2017'!$B$5:$B$86, '1.2 FY2017'!C$5:C$86)</f>
        <v>Misc extraordinary expenses</v>
      </c>
      <c r="D86" s="25" t="str">
        <f>_xlfn.XLOOKUP($B86, '1.2 FY2017'!$B$5:$B$86, '1.2 FY2017'!D$5:D$86)</f>
        <v>1924</v>
      </c>
      <c r="E86" s="2" t="str">
        <f>_xlfn.XLOOKUP($B86, '1.2 FY2017'!$B$5:$B$86, '1.2 FY2017'!E$5:E$86)</f>
        <v>Generco Infrastructure Ltd</v>
      </c>
      <c r="F86" s="25"/>
      <c r="G86" s="25"/>
      <c r="H86" s="25"/>
    </row>
    <row r="87" spans="2:8" x14ac:dyDescent="0.2">
      <c r="B87" s="25" t="s">
        <v>199</v>
      </c>
      <c r="C87" s="2" t="str">
        <f>_xlfn.XLOOKUP($B87, '1.2 FY2017'!$B$5:$B$86, '1.2 FY2017'!C$5:C$86)</f>
        <v>Difference from eliminations</v>
      </c>
      <c r="D87" s="25" t="str">
        <f>_xlfn.XLOOKUP($B87, '1.2 FY2017'!$B$5:$B$86, '1.2 FY2017'!D$5:D$86)</f>
        <v>1086</v>
      </c>
      <c r="E87" s="2" t="str">
        <f>_xlfn.XLOOKUP($B87, '1.2 FY2017'!$B$5:$B$86, '1.2 FY2017'!E$5:E$86)</f>
        <v>G&amp;Resources Ltd</v>
      </c>
      <c r="F87" s="25"/>
      <c r="G87" s="25"/>
      <c r="H87" s="25"/>
    </row>
    <row r="88" spans="2:8" x14ac:dyDescent="0.2">
      <c r="B88" s="25" t="s">
        <v>200</v>
      </c>
      <c r="C88" s="2" t="str">
        <f>_xlfn.XLOOKUP($B88, '1.2 FY2017'!$B$5:$B$86, '1.2 FY2017'!C$5:C$86)</f>
        <v>Interest income</v>
      </c>
      <c r="D88" s="25" t="str">
        <f>_xlfn.XLOOKUP($B88, '1.2 FY2017'!$B$5:$B$86, '1.2 FY2017'!D$5:D$86)</f>
        <v>1086</v>
      </c>
      <c r="E88" s="2" t="str">
        <f>_xlfn.XLOOKUP($B88, '1.2 FY2017'!$B$5:$B$86, '1.2 FY2017'!E$5:E$86)</f>
        <v>G&amp;Resources Ltd</v>
      </c>
      <c r="F88" s="25"/>
      <c r="G88" s="25"/>
      <c r="H88" s="25"/>
    </row>
    <row r="89" spans="2:8" x14ac:dyDescent="0.2">
      <c r="B89" s="25" t="s">
        <v>201</v>
      </c>
      <c r="C89" s="2" t="str">
        <f>_xlfn.XLOOKUP($B89, '1.2 FY2017'!$B$5:$B$86, '1.2 FY2017'!C$5:C$86)</f>
        <v>Interest income</v>
      </c>
      <c r="D89" s="25">
        <f>_xlfn.XLOOKUP($B89, '1.2 FY2017'!$B$5:$B$86, '1.2 FY2017'!D$5:D$86)</f>
        <v>1006</v>
      </c>
      <c r="E89" s="2" t="str">
        <f>_xlfn.XLOOKUP($B89, '1.2 FY2017'!$B$5:$B$86, '1.2 FY2017'!E$5:E$86)</f>
        <v>Generco Mining GmbH</v>
      </c>
      <c r="F89" s="25"/>
      <c r="G89" s="25"/>
      <c r="H89" s="25"/>
    </row>
    <row r="90" spans="2:8" x14ac:dyDescent="0.2">
      <c r="B90" s="25" t="s">
        <v>202</v>
      </c>
      <c r="C90" s="2" t="str">
        <f>_xlfn.XLOOKUP($B90, '1.2 FY2017'!$B$5:$B$86, '1.2 FY2017'!C$5:C$86)</f>
        <v>Interest expenses</v>
      </c>
      <c r="D90" s="25">
        <f>_xlfn.XLOOKUP($B90, '1.2 FY2017'!$B$5:$B$86, '1.2 FY2017'!D$5:D$86)</f>
        <v>1007</v>
      </c>
      <c r="E90" s="2" t="str">
        <f>_xlfn.XLOOKUP($B90, '1.2 FY2017'!$B$5:$B$86, '1.2 FY2017'!E$5:E$86)</f>
        <v>Generco Semiconductors Ltd</v>
      </c>
      <c r="F90" s="25"/>
      <c r="G90" s="25"/>
      <c r="H90" s="25"/>
    </row>
    <row r="91" spans="2:8" x14ac:dyDescent="0.2">
      <c r="B91" s="25" t="s">
        <v>203</v>
      </c>
      <c r="C91" s="2" t="str">
        <f>_xlfn.XLOOKUP($B91, '1.2 FY2017'!$B$5:$B$86, '1.2 FY2017'!C$5:C$86)</f>
        <v>Interest expenses</v>
      </c>
      <c r="D91" s="25">
        <f>_xlfn.XLOOKUP($B91, '1.2 FY2017'!$B$5:$B$86, '1.2 FY2017'!D$5:D$86)</f>
        <v>111111</v>
      </c>
      <c r="E91" s="2" t="str">
        <f>_xlfn.XLOOKUP($B91, '1.2 FY2017'!$B$5:$B$86, '1.2 FY2017'!E$5:E$86)</f>
        <v>External</v>
      </c>
      <c r="F91" s="25"/>
      <c r="G91" s="25"/>
      <c r="H91" s="25"/>
    </row>
    <row r="92" spans="2:8" x14ac:dyDescent="0.2">
      <c r="B92" s="25" t="s">
        <v>204</v>
      </c>
      <c r="C92" s="2" t="str">
        <f>_xlfn.XLOOKUP($B92, '1.2 FY2017'!$B$5:$B$86, '1.2 FY2017'!C$5:C$86)</f>
        <v>Impairment of participation</v>
      </c>
      <c r="D92" s="25">
        <f>_xlfn.XLOOKUP($B92, '1.2 FY2017'!$B$5:$B$86, '1.2 FY2017'!D$5:D$86)</f>
        <v>1240</v>
      </c>
      <c r="E92" s="2" t="str">
        <f>_xlfn.XLOOKUP($B92, '1.2 FY2017'!$B$5:$B$86, '1.2 FY2017'!E$5:E$86)</f>
        <v xml:space="preserve">Generco UK </v>
      </c>
      <c r="F92" s="25"/>
      <c r="G92" s="25"/>
      <c r="H92" s="25"/>
    </row>
    <row r="93" spans="2:8" x14ac:dyDescent="0.2">
      <c r="B93" s="25" t="s">
        <v>205</v>
      </c>
      <c r="C93" s="2" t="str">
        <f>_xlfn.XLOOKUP($B93, '1.2 FY2017'!$B$5:$B$86, '1.2 FY2017'!C$5:C$86)</f>
        <v>Quarterly changes in current taxes</v>
      </c>
      <c r="D93" s="25">
        <f>_xlfn.XLOOKUP($B93, '1.2 FY2017'!$B$5:$B$86, '1.2 FY2017'!D$5:D$86)</f>
        <v>111101</v>
      </c>
      <c r="E93" s="2" t="str">
        <f>_xlfn.XLOOKUP($B93, '1.2 FY2017'!$B$5:$B$86, '1.2 FY2017'!E$5:E$86)</f>
        <v>Not assigned</v>
      </c>
      <c r="F93" s="25"/>
      <c r="G93" s="25"/>
      <c r="H93" s="25"/>
    </row>
    <row r="94" spans="2:8" x14ac:dyDescent="0.2">
      <c r="B94" s="25" t="s">
        <v>206</v>
      </c>
      <c r="C94" s="2" t="str">
        <f>_xlfn.XLOOKUP($B94, '1.2 FY2017'!$B$5:$B$86, '1.2 FY2017'!C$5:C$86)</f>
        <v>Net income/(loss)</v>
      </c>
      <c r="D94" s="25">
        <f>_xlfn.XLOOKUP($B94, '1.2 FY2017'!$B$5:$B$86, '1.2 FY2017'!D$5:D$86)</f>
        <v>111101</v>
      </c>
      <c r="E94" s="2" t="str">
        <f>_xlfn.XLOOKUP($B94, '1.2 FY2017'!$B$5:$B$86, '1.2 FY2017'!E$5:E$86)</f>
        <v>Not assigned</v>
      </c>
      <c r="F94" s="25"/>
      <c r="G94" s="25"/>
      <c r="H94" s="25"/>
    </row>
    <row r="95" spans="2:8" x14ac:dyDescent="0.2">
      <c r="B95" s="25" t="s">
        <v>207</v>
      </c>
      <c r="C95" s="2" t="str">
        <f>_xlfn.XLOOKUP($B95, '1.3 FY2018'!$B$5:$B$78, '1.3 FY2018'!C$5:C$78)</f>
        <v>Operating expenses for utilities</v>
      </c>
      <c r="D95" s="25">
        <f>_xlfn.XLOOKUP($B95, '1.3 FY2018'!$B$5:$B$78, '1.3 FY2018'!D$5:D$78)</f>
        <v>111111</v>
      </c>
      <c r="E95" s="2" t="str">
        <f>_xlfn.XLOOKUP($B95, '1.3 FY2018'!$B$5:$B$78, '1.3 FY2018'!E$5:E$78)</f>
        <v>External</v>
      </c>
      <c r="F95" s="25"/>
      <c r="G95" s="25"/>
      <c r="H95" s="25"/>
    </row>
    <row r="96" spans="2:8" x14ac:dyDescent="0.2">
      <c r="B96" s="25" t="s">
        <v>208</v>
      </c>
      <c r="C96" s="2" t="str">
        <f>_xlfn.XLOOKUP($B96, '1.3 FY2018'!$B$5:$B$78, '1.3 FY2018'!C$5:C$78)</f>
        <v>R&amp;D expenses</v>
      </c>
      <c r="D96" s="25" t="str">
        <f>_xlfn.XLOOKUP($B96, '1.3 FY2018'!$B$5:$B$78, '1.3 FY2018'!D$5:D$78)</f>
        <v>2185</v>
      </c>
      <c r="E96" s="2" t="str">
        <f>_xlfn.XLOOKUP($B96, '1.3 FY2018'!$B$5:$B$78, '1.3 FY2018'!E$5:E$78)</f>
        <v>Generco Green Projects GmbH</v>
      </c>
      <c r="F96" s="25"/>
      <c r="G96" s="25"/>
      <c r="H96" s="25"/>
    </row>
    <row r="97" spans="2:8" x14ac:dyDescent="0.2">
      <c r="B97" s="25" t="s">
        <v>209</v>
      </c>
      <c r="C97" s="2" t="str">
        <f>_xlfn.XLOOKUP($B97, '1.3 FY2018'!$B$5:$B$78, '1.3 FY2018'!C$5:C$78)</f>
        <v>R&amp;D expenses</v>
      </c>
      <c r="D97" s="25" t="str">
        <f>_xlfn.XLOOKUP($B97, '1.3 FY2018'!$B$5:$B$78, '1.3 FY2018'!D$5:D$78)</f>
        <v>2240</v>
      </c>
      <c r="E97" s="2" t="str">
        <f>_xlfn.XLOOKUP($B97, '1.3 FY2018'!$B$5:$B$78, '1.3 FY2018'!E$5:E$78)</f>
        <v>Greeny Germany GmbH</v>
      </c>
      <c r="F97" s="25"/>
      <c r="G97" s="25"/>
      <c r="H97" s="25"/>
    </row>
    <row r="98" spans="2:8" x14ac:dyDescent="0.2">
      <c r="B98" s="25" t="s">
        <v>210</v>
      </c>
      <c r="C98" s="2" t="str">
        <f>_xlfn.XLOOKUP($B98, '1.3 FY2018'!$B$5:$B$78, '1.3 FY2018'!C$5:C$78)</f>
        <v>R&amp;D expenses</v>
      </c>
      <c r="D98" s="25">
        <f>_xlfn.XLOOKUP($B98, '1.3 FY2018'!$B$5:$B$78, '1.3 FY2018'!D$5:D$78)</f>
        <v>17000</v>
      </c>
      <c r="E98" s="2" t="str">
        <f>_xlfn.XLOOKUP($B98, '1.3 FY2018'!$B$5:$B$78, '1.3 FY2018'!E$5:E$78)</f>
        <v>Generco Risk Management Ltd</v>
      </c>
      <c r="F98" s="25"/>
      <c r="G98" s="25"/>
      <c r="H98" s="25"/>
    </row>
    <row r="99" spans="2:8" x14ac:dyDescent="0.2">
      <c r="B99" s="25" t="s">
        <v>211</v>
      </c>
      <c r="C99" s="2" t="str">
        <f>_xlfn.XLOOKUP($B99, '1.3 FY2018'!$B$5:$B$78, '1.3 FY2018'!C$5:C$78)</f>
        <v>Other operative currency differences</v>
      </c>
      <c r="D99" s="25" t="str">
        <f>_xlfn.XLOOKUP($B99, '1.3 FY2018'!$B$5:$B$78, '1.3 FY2018'!D$5:D$78)</f>
        <v>1118</v>
      </c>
      <c r="E99" s="2" t="str">
        <f>_xlfn.XLOOKUP($B99, '1.3 FY2018'!$B$5:$B$78, '1.3 FY2018'!E$5:E$78)</f>
        <v>Gener Green LLC</v>
      </c>
      <c r="F99" s="25"/>
      <c r="G99" s="25"/>
      <c r="H99" s="25"/>
    </row>
    <row r="100" spans="2:8" x14ac:dyDescent="0.2">
      <c r="B100" s="25" t="s">
        <v>212</v>
      </c>
      <c r="C100" s="2" t="str">
        <f>_xlfn.XLOOKUP($B100, '1.3 FY2018'!$B$5:$B$78, '1.3 FY2018'!C$5:C$78)</f>
        <v>Other operative currency differences</v>
      </c>
      <c r="D100" s="25">
        <f>_xlfn.XLOOKUP($B100, '1.3 FY2018'!$B$5:$B$78, '1.3 FY2018'!D$5:D$78)</f>
        <v>111111</v>
      </c>
      <c r="E100" s="2" t="str">
        <f>_xlfn.XLOOKUP($B100, '1.3 FY2018'!$B$5:$B$78, '1.3 FY2018'!E$5:E$78)</f>
        <v>External</v>
      </c>
      <c r="F100" s="25"/>
      <c r="G100" s="25"/>
      <c r="H100" s="25"/>
    </row>
    <row r="101" spans="2:8" x14ac:dyDescent="0.2">
      <c r="B101" s="25" t="s">
        <v>213</v>
      </c>
      <c r="C101" s="2" t="str">
        <f>_xlfn.XLOOKUP($B101, '1.3 FY2018'!$B$5:$B$78, '1.3 FY2018'!C$5:C$78)</f>
        <v>Corporate recharges</v>
      </c>
      <c r="D101" s="25">
        <f>_xlfn.XLOOKUP($B101, '1.3 FY2018'!$B$5:$B$78, '1.3 FY2018'!D$5:D$78)</f>
        <v>1006</v>
      </c>
      <c r="E101" s="2" t="str">
        <f>_xlfn.XLOOKUP($B101, '1.3 FY2018'!$B$5:$B$78, '1.3 FY2018'!E$5:E$78)</f>
        <v>Generco Mining GmbH</v>
      </c>
      <c r="F101" s="25"/>
      <c r="G101" s="25"/>
      <c r="H101" s="25"/>
    </row>
    <row r="102" spans="2:8" x14ac:dyDescent="0.2">
      <c r="B102" s="25" t="s">
        <v>214</v>
      </c>
      <c r="C102" s="2" t="str">
        <f>_xlfn.XLOOKUP($B102, '1.3 FY2018'!$B$5:$B$78, '1.3 FY2018'!C$5:C$78)</f>
        <v>Reimbursements+compensation for damages</v>
      </c>
      <c r="D102" s="25">
        <f>_xlfn.XLOOKUP($B102, '1.3 FY2018'!$B$5:$B$78, '1.3 FY2018'!D$5:D$78)</f>
        <v>111111</v>
      </c>
      <c r="E102" s="2" t="str">
        <f>_xlfn.XLOOKUP($B102, '1.3 FY2018'!$B$5:$B$78, '1.3 FY2018'!E$5:E$78)</f>
        <v>External</v>
      </c>
      <c r="F102" s="25"/>
      <c r="G102" s="25"/>
      <c r="H102" s="25"/>
    </row>
    <row r="103" spans="2:8" x14ac:dyDescent="0.2">
      <c r="B103" s="25" t="s">
        <v>215</v>
      </c>
      <c r="C103" s="2" t="str">
        <f>_xlfn.XLOOKUP($B103, '1.3 FY2018'!$B$5:$B$78, '1.3 FY2018'!C$5:C$78)</f>
        <v>Other income</v>
      </c>
      <c r="D103" s="25">
        <f>_xlfn.XLOOKUP($B103, '1.3 FY2018'!$B$5:$B$78, '1.3 FY2018'!D$5:D$78)</f>
        <v>105</v>
      </c>
      <c r="E103" s="2" t="str">
        <f>_xlfn.XLOOKUP($B103, '1.3 FY2018'!$B$5:$B$78, '1.3 FY2018'!E$5:E$78)</f>
        <v>Generco Healthcare Ltd</v>
      </c>
      <c r="F103" s="25"/>
      <c r="G103" s="25"/>
      <c r="H103" s="25"/>
    </row>
    <row r="104" spans="2:8" x14ac:dyDescent="0.2">
      <c r="B104" s="25" t="s">
        <v>216</v>
      </c>
      <c r="C104" s="2" t="str">
        <f>_xlfn.XLOOKUP($B104, '1.3 FY2018'!$B$5:$B$78, '1.3 FY2018'!C$5:C$78)</f>
        <v>Leasings</v>
      </c>
      <c r="D104" s="25">
        <f>_xlfn.XLOOKUP($B104, '1.3 FY2018'!$B$5:$B$78, '1.3 FY2018'!D$5:D$78)</f>
        <v>105</v>
      </c>
      <c r="E104" s="2" t="str">
        <f>_xlfn.XLOOKUP($B104, '1.3 FY2018'!$B$5:$B$78, '1.3 FY2018'!E$5:E$78)</f>
        <v>Generco Healthcare Ltd</v>
      </c>
      <c r="F104" s="25"/>
      <c r="G104" s="25"/>
      <c r="H104" s="25"/>
    </row>
    <row r="105" spans="2:8" x14ac:dyDescent="0.2">
      <c r="B105" s="25" t="s">
        <v>217</v>
      </c>
      <c r="C105" s="2" t="str">
        <f>_xlfn.XLOOKUP($B105, '1.3 FY2018'!$B$5:$B$78, '1.3 FY2018'!C$5:C$78)</f>
        <v>Insurance expenses</v>
      </c>
      <c r="D105" s="25">
        <f>_xlfn.XLOOKUP($B105, '1.3 FY2018'!$B$5:$B$78, '1.3 FY2018'!D$5:D$78)</f>
        <v>88</v>
      </c>
      <c r="E105" s="2" t="str">
        <f>_xlfn.XLOOKUP($B105, '1.3 FY2018'!$B$5:$B$78, '1.3 FY2018'!E$5:E$78)</f>
        <v>Generco Ltd</v>
      </c>
      <c r="F105" s="25"/>
      <c r="G105" s="25"/>
      <c r="H105" s="25"/>
    </row>
    <row r="106" spans="2:8" x14ac:dyDescent="0.2">
      <c r="B106" s="25" t="s">
        <v>218</v>
      </c>
      <c r="C106" s="2" t="str">
        <f>_xlfn.XLOOKUP($B106, '1.3 FY2018'!$B$5:$B$78, '1.3 FY2018'!C$5:C$78)</f>
        <v>Repairs/Maintenance costs</v>
      </c>
      <c r="D106" s="25">
        <f>_xlfn.XLOOKUP($B106, '1.3 FY2018'!$B$5:$B$78, '1.3 FY2018'!D$5:D$78)</f>
        <v>111111</v>
      </c>
      <c r="E106" s="2" t="str">
        <f>_xlfn.XLOOKUP($B106, '1.3 FY2018'!$B$5:$B$78, '1.3 FY2018'!E$5:E$78)</f>
        <v>External</v>
      </c>
      <c r="F106" s="25"/>
      <c r="G106" s="25"/>
      <c r="H106" s="25"/>
    </row>
    <row r="107" spans="2:8" x14ac:dyDescent="0.2">
      <c r="B107" s="25" t="s">
        <v>219</v>
      </c>
      <c r="C107" s="2" t="str">
        <f>_xlfn.XLOOKUP($B107, '1.3 FY2018'!$B$5:$B$78, '1.3 FY2018'!C$5:C$78)</f>
        <v>Impairment of participation</v>
      </c>
      <c r="D107" s="25">
        <f>_xlfn.XLOOKUP($B107, '1.3 FY2018'!$B$5:$B$78, '1.3 FY2018'!D$5:D$78)</f>
        <v>111101</v>
      </c>
      <c r="E107" s="2" t="str">
        <f>_xlfn.XLOOKUP($B107, '1.3 FY2018'!$B$5:$B$78, '1.3 FY2018'!E$5:E$78)</f>
        <v>Not assigned</v>
      </c>
      <c r="F107" s="25"/>
      <c r="G107" s="25"/>
      <c r="H107" s="25"/>
    </row>
    <row r="108" spans="2:8" x14ac:dyDescent="0.2">
      <c r="B108" s="25" t="s">
        <v>220</v>
      </c>
      <c r="C108" s="2" t="str">
        <f>_xlfn.XLOOKUP($B108, '1.3 FY2018'!$B$5:$B$78, '1.3 FY2018'!C$5:C$78)</f>
        <v>Offset segments (tech.)</v>
      </c>
      <c r="D108" s="25">
        <f>_xlfn.XLOOKUP($B108, '1.3 FY2018'!$B$5:$B$78, '1.3 FY2018'!D$5:D$78)</f>
        <v>111101</v>
      </c>
      <c r="E108" s="2" t="str">
        <f>_xlfn.XLOOKUP($B108, '1.3 FY2018'!$B$5:$B$78, '1.3 FY2018'!E$5:E$78)</f>
        <v>Not assigned</v>
      </c>
      <c r="F108" s="25"/>
      <c r="G108" s="25"/>
      <c r="H108" s="25"/>
    </row>
    <row r="109" spans="2:8" ht="14.4" x14ac:dyDescent="0.3">
      <c r="B109"/>
    </row>
    <row r="110" spans="2:8" ht="14.4" x14ac:dyDescent="0.3">
      <c r="B110"/>
    </row>
    <row r="111" spans="2:8" ht="14.4" x14ac:dyDescent="0.3">
      <c r="B111"/>
    </row>
    <row r="112" spans="2:8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2025-09-06T21:34:51Z</dcterms:modified>
</cp:coreProperties>
</file>