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7381C0A2-9C34-47CC-BDF5-56BF98DDA1FB}" xr6:coauthVersionLast="47" xr6:coauthVersionMax="47" xr10:uidLastSave="{00000000-0000-0000-0000-000000000000}"/>
  <bookViews>
    <workbookView xWindow="11424" yWindow="0" windowWidth="11712" windowHeight="12336" firstSheet="6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Database'!$B$3:$H$110</definedName>
    <definedName name="_xleta.SUM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0" i="10" l="1"/>
  <c r="F94" i="10"/>
  <c r="H94" i="10"/>
  <c r="G9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H4" i="10"/>
  <c r="G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G110" i="10" l="1"/>
  <c r="H110" i="10"/>
  <c r="F110" i="10"/>
</calcChain>
</file>

<file path=xl/sharedStrings.xml><?xml version="1.0" encoding="utf-8"?>
<sst xmlns="http://schemas.openxmlformats.org/spreadsheetml/2006/main" count="829" uniqueCount="225">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</sst>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2" fontId="1" fillId="2" borderId="0" xfId="0" applyNumberFormat="1" applyFont="1" applyFill="1"/>
    <xf numFmtId="2" fontId="17" fillId="2" borderId="2" xfId="0" applyNumberFormat="1" applyFont="1" applyFill="1" applyBorder="1" applyAlignment="1">
      <alignment horizontal="right"/>
    </xf>
    <xf numFmtId="2" fontId="1" fillId="2" borderId="0" xfId="0" applyNumberFormat="1" applyFont="1" applyFill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/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C1" workbookViewId="0">
      <selection activeCell="C21" sqref="A21:XFD2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63" workbookViewId="0">
      <selection activeCell="C4" sqref="C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topLeftCell="E79" workbookViewId="0">
      <selection activeCell="H4" sqref="H4:H110"/>
    </sheetView>
  </sheetViews>
  <sheetFormatPr defaultColWidth="9.109375" defaultRowHeight="11.4" x14ac:dyDescent="0.2"/>
  <cols>
    <col min="1" max="1" width="2" style="2" customWidth="1"/>
    <col min="2" max="2" width="24.5546875" style="2" bestFit="1" customWidth="1"/>
    <col min="3" max="3" width="34.77734375" style="2" bestFit="1" customWidth="1"/>
    <col min="4" max="4" width="16.33203125" style="2" bestFit="1" customWidth="1"/>
    <col min="5" max="5" width="23.77734375" style="2" bestFit="1" customWidth="1"/>
    <col min="6" max="8" width="11.109375" style="26" bestFit="1" customWidth="1"/>
    <col min="9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7" t="s">
        <v>221</v>
      </c>
      <c r="G3" s="27" t="s">
        <v>222</v>
      </c>
      <c r="H3" s="27" t="s">
        <v>223</v>
      </c>
    </row>
    <row r="4" spans="2:8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28">
        <f>-SUMIF('1.1 FY2016'!$B:$B, '2.1 Database'!$B4, '1.1 FY2016'!$F:$F)</f>
        <v>14500341</v>
      </c>
      <c r="G4" s="28">
        <f>-SUMIF('1.2 FY2017'!$B:$B, '2.1 Database'!$B4, '1.2 FY2017'!$F:$F)</f>
        <v>15792898.75</v>
      </c>
      <c r="H4" s="28">
        <f>-SUMIF('1.3 FY2018'!$B:$B, '2.1 Database'!$B4, '1.3 FY2018'!$F:$F)</f>
        <v>14431341</v>
      </c>
    </row>
    <row r="5" spans="2:8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28">
        <f>-SUMIF('1.1 FY2016'!$B:$B, '2.1 Database'!$B5, '1.1 FY2016'!$F:$F)</f>
        <v>4794856.1919999998</v>
      </c>
      <c r="G5" s="28">
        <f>-SUMIF('1.2 FY2017'!$B:$B, '2.1 Database'!$B5, '1.2 FY2017'!$F:$F)</f>
        <v>6960217.6449999996</v>
      </c>
      <c r="H5" s="28">
        <f>-SUMIF('1.3 FY2018'!$B:$B, '2.1 Database'!$B5, '1.3 FY2018'!$F:$F)</f>
        <v>6373617.5140000004</v>
      </c>
    </row>
    <row r="6" spans="2:8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28">
        <f>-SUMIF('1.1 FY2016'!$B:$B, '2.1 Database'!$B6, '1.1 FY2016'!$F:$F)</f>
        <v>154890.4</v>
      </c>
      <c r="G6" s="28">
        <f>-SUMIF('1.2 FY2017'!$B:$B, '2.1 Database'!$B6, '1.2 FY2017'!$F:$F)</f>
        <v>0</v>
      </c>
      <c r="H6" s="28">
        <f>-SUMIF('1.3 FY2018'!$B:$B, '2.1 Database'!$B6, '1.3 FY2018'!$F:$F)</f>
        <v>0</v>
      </c>
    </row>
    <row r="7" spans="2:8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28">
        <f>-SUMIF('1.1 FY2016'!$B:$B, '2.1 Database'!$B7, '1.1 FY2016'!$F:$F)</f>
        <v>1180894.0520000001</v>
      </c>
      <c r="G7" s="28">
        <f>-SUMIF('1.2 FY2017'!$B:$B, '2.1 Database'!$B7, '1.2 FY2017'!$F:$F)</f>
        <v>89234.880000000005</v>
      </c>
      <c r="H7" s="28">
        <f>-SUMIF('1.3 FY2018'!$B:$B, '2.1 Database'!$B7, '1.3 FY2018'!$F:$F)</f>
        <v>0</v>
      </c>
    </row>
    <row r="8" spans="2:8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28">
        <f>-SUMIF('1.1 FY2016'!$B:$B, '2.1 Database'!$B8, '1.1 FY2016'!$F:$F)</f>
        <v>793079.51199999999</v>
      </c>
      <c r="G8" s="28">
        <f>-SUMIF('1.2 FY2017'!$B:$B, '2.1 Database'!$B8, '1.2 FY2017'!$F:$F)</f>
        <v>26173</v>
      </c>
      <c r="H8" s="28">
        <f>-SUMIF('1.3 FY2018'!$B:$B, '2.1 Database'!$B8, '1.3 FY2018'!$F:$F)</f>
        <v>0</v>
      </c>
    </row>
    <row r="9" spans="2:8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28">
        <f>-SUMIF('1.1 FY2016'!$B:$B, '2.1 Database'!$B9, '1.1 FY2016'!$F:$F)</f>
        <v>2277197.6</v>
      </c>
      <c r="G9" s="28">
        <f>-SUMIF('1.2 FY2017'!$B:$B, '2.1 Database'!$B9, '1.2 FY2017'!$F:$F)</f>
        <v>209401.92</v>
      </c>
      <c r="H9" s="28">
        <f>-SUMIF('1.3 FY2018'!$B:$B, '2.1 Database'!$B9, '1.3 FY2018'!$F:$F)</f>
        <v>0</v>
      </c>
    </row>
    <row r="10" spans="2:8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28">
        <f>-SUMIF('1.1 FY2016'!$B:$B, '2.1 Database'!$B10, '1.1 FY2016'!$F:$F)</f>
        <v>-4428911.7640000004</v>
      </c>
      <c r="G10" s="28">
        <f>-SUMIF('1.2 FY2017'!$B:$B, '2.1 Database'!$B10, '1.2 FY2017'!$F:$F)</f>
        <v>-5463188.8250000002</v>
      </c>
      <c r="H10" s="28">
        <f>-SUMIF('1.3 FY2018'!$B:$B, '2.1 Database'!$B10, '1.3 FY2018'!$F:$F)</f>
        <v>-5674152.0669999998</v>
      </c>
    </row>
    <row r="11" spans="2:8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28">
        <f>-SUMIF('1.1 FY2016'!$B:$B, '2.1 Database'!$B11, '1.1 FY2016'!$F:$F)</f>
        <v>-16977.628000000001</v>
      </c>
      <c r="G11" s="28">
        <f>-SUMIF('1.2 FY2017'!$B:$B, '2.1 Database'!$B11, '1.2 FY2017'!$F:$F)</f>
        <v>-343675</v>
      </c>
      <c r="H11" s="28">
        <f>-SUMIF('1.3 FY2018'!$B:$B, '2.1 Database'!$B11, '1.3 FY2018'!$F:$F)</f>
        <v>-350370.99399999995</v>
      </c>
    </row>
    <row r="12" spans="2:8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28">
        <f>-SUMIF('1.1 FY2016'!$B:$B, '2.1 Database'!$B12, '1.1 FY2016'!$F:$F)</f>
        <v>-2245437.54</v>
      </c>
      <c r="G12" s="28">
        <f>-SUMIF('1.2 FY2017'!$B:$B, '2.1 Database'!$B12, '1.2 FY2017'!$F:$F)</f>
        <v>-1980162.23</v>
      </c>
      <c r="H12" s="28">
        <f>-SUMIF('1.3 FY2018'!$B:$B, '2.1 Database'!$B12, '1.3 FY2018'!$F:$F)</f>
        <v>-3116017.1540000001</v>
      </c>
    </row>
    <row r="13" spans="2:8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28">
        <f>-SUMIF('1.1 FY2016'!$B:$B, '2.1 Database'!$B13, '1.1 FY2016'!$F:$F)</f>
        <v>-16605.634000000002</v>
      </c>
      <c r="G13" s="28">
        <f>-SUMIF('1.2 FY2017'!$B:$B, '2.1 Database'!$B13, '1.2 FY2017'!$F:$F)</f>
        <v>-27148.625</v>
      </c>
      <c r="H13" s="28">
        <f>-SUMIF('1.3 FY2018'!$B:$B, '2.1 Database'!$B13, '1.3 FY2018'!$F:$F)</f>
        <v>-9783.7069999999985</v>
      </c>
    </row>
    <row r="14" spans="2:8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28">
        <f>-SUMIF('1.1 FY2016'!$B:$B, '2.1 Database'!$B14, '1.1 FY2016'!$F:$F)</f>
        <v>-4683394.0460000001</v>
      </c>
      <c r="G14" s="28">
        <f>-SUMIF('1.2 FY2017'!$B:$B, '2.1 Database'!$B14, '1.2 FY2017'!$F:$F)</f>
        <v>-5507141.0549999997</v>
      </c>
      <c r="H14" s="28">
        <f>-SUMIF('1.3 FY2018'!$B:$B, '2.1 Database'!$B14, '1.3 FY2018'!$F:$F)</f>
        <v>-3982699.5329999998</v>
      </c>
    </row>
    <row r="15" spans="2:8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28">
        <f>-SUMIF('1.1 FY2016'!$B:$B, '2.1 Database'!$B15, '1.1 FY2016'!$F:$F)</f>
        <v>-1143051.5760000001</v>
      </c>
      <c r="G15" s="28">
        <f>-SUMIF('1.2 FY2017'!$B:$B, '2.1 Database'!$B15, '1.2 FY2017'!$F:$F)</f>
        <v>-2057298.04</v>
      </c>
      <c r="H15" s="28">
        <f>-SUMIF('1.3 FY2018'!$B:$B, '2.1 Database'!$B15, '1.3 FY2018'!$F:$F)</f>
        <v>-1709688.6429999997</v>
      </c>
    </row>
    <row r="16" spans="2:8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28">
        <f>-SUMIF('1.1 FY2016'!$B:$B, '2.1 Database'!$B16, '1.1 FY2016'!$F:$F)</f>
        <v>-239379.61800000002</v>
      </c>
      <c r="G16" s="28">
        <f>-SUMIF('1.2 FY2017'!$B:$B, '2.1 Database'!$B16, '1.2 FY2017'!$F:$F)</f>
        <v>0</v>
      </c>
      <c r="H16" s="28">
        <f>-SUMIF('1.3 FY2018'!$B:$B, '2.1 Database'!$B16, '1.3 FY2018'!$F:$F)</f>
        <v>0</v>
      </c>
    </row>
    <row r="17" spans="2:8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28">
        <f>-SUMIF('1.1 FY2016'!$B:$B, '2.1 Database'!$B17, '1.1 FY2016'!$F:$F)</f>
        <v>-104913.8</v>
      </c>
      <c r="G17" s="28">
        <f>-SUMIF('1.2 FY2017'!$B:$B, '2.1 Database'!$B17, '1.2 FY2017'!$F:$F)</f>
        <v>-500500</v>
      </c>
      <c r="H17" s="28">
        <f>-SUMIF('1.3 FY2018'!$B:$B, '2.1 Database'!$B17, '1.3 FY2018'!$F:$F)</f>
        <v>-143500</v>
      </c>
    </row>
    <row r="18" spans="2:8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28">
        <f>-SUMIF('1.1 FY2016'!$B:$B, '2.1 Database'!$B18, '1.1 FY2016'!$F:$F)</f>
        <v>-2003262.2180000001</v>
      </c>
      <c r="G18" s="28">
        <f>-SUMIF('1.2 FY2017'!$B:$B, '2.1 Database'!$B18, '1.2 FY2017'!$F:$F)</f>
        <v>-1897676.87</v>
      </c>
      <c r="H18" s="28">
        <f>-SUMIF('1.3 FY2018'!$B:$B, '2.1 Database'!$B18, '1.3 FY2018'!$F:$F)</f>
        <v>-1875768.159</v>
      </c>
    </row>
    <row r="19" spans="2:8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28">
        <f>-SUMIF('1.1 FY2016'!$B:$B, '2.1 Database'!$B19, '1.1 FY2016'!$F:$F)</f>
        <v>-41981.296000000002</v>
      </c>
      <c r="G19" s="28">
        <f>-SUMIF('1.2 FY2017'!$B:$B, '2.1 Database'!$B19, '1.2 FY2017'!$F:$F)</f>
        <v>0</v>
      </c>
      <c r="H19" s="28">
        <f>-SUMIF('1.3 FY2018'!$B:$B, '2.1 Database'!$B19, '1.3 FY2018'!$F:$F)</f>
        <v>0</v>
      </c>
    </row>
    <row r="20" spans="2:8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28">
        <f>-SUMIF('1.1 FY2016'!$B:$B, '2.1 Database'!$B20, '1.1 FY2016'!$F:$F)</f>
        <v>2156147.4</v>
      </c>
      <c r="G20" s="28">
        <f>-SUMIF('1.2 FY2017'!$B:$B, '2.1 Database'!$B20, '1.2 FY2017'!$F:$F)</f>
        <v>1643711.145</v>
      </c>
      <c r="H20" s="28">
        <f>-SUMIF('1.3 FY2018'!$B:$B, '2.1 Database'!$B20, '1.3 FY2018'!$F:$F)</f>
        <v>1418521.358</v>
      </c>
    </row>
    <row r="21" spans="2:8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28">
        <f>-SUMIF('1.1 FY2016'!$B:$B, '2.1 Database'!$B21, '1.1 FY2016'!$F:$F)</f>
        <v>291428.55199999997</v>
      </c>
      <c r="G21" s="28">
        <f>-SUMIF('1.2 FY2017'!$B:$B, '2.1 Database'!$B21, '1.2 FY2017'!$F:$F)</f>
        <v>0</v>
      </c>
      <c r="H21" s="28">
        <f>-SUMIF('1.3 FY2018'!$B:$B, '2.1 Database'!$B21, '1.3 FY2018'!$F:$F)</f>
        <v>0</v>
      </c>
    </row>
    <row r="22" spans="2:8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28">
        <f>-SUMIF('1.1 FY2016'!$B:$B, '2.1 Database'!$B22, '1.1 FY2016'!$F:$F)</f>
        <v>0</v>
      </c>
      <c r="G22" s="28">
        <f>-SUMIF('1.2 FY2017'!$B:$B, '2.1 Database'!$B22, '1.2 FY2017'!$F:$F)</f>
        <v>0</v>
      </c>
      <c r="H22" s="28">
        <f>-SUMIF('1.3 FY2018'!$B:$B, '2.1 Database'!$B22, '1.3 FY2018'!$F:$F)</f>
        <v>0</v>
      </c>
    </row>
    <row r="23" spans="2:8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28">
        <f>-SUMIF('1.1 FY2016'!$B:$B, '2.1 Database'!$B23, '1.1 FY2016'!$F:$F)</f>
        <v>33736.5</v>
      </c>
      <c r="G23" s="28">
        <f>-SUMIF('1.2 FY2017'!$B:$B, '2.1 Database'!$B23, '1.2 FY2017'!$F:$F)</f>
        <v>0</v>
      </c>
      <c r="H23" s="28">
        <f>-SUMIF('1.3 FY2018'!$B:$B, '2.1 Database'!$B23, '1.3 FY2018'!$F:$F)</f>
        <v>0</v>
      </c>
    </row>
    <row r="24" spans="2:8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28">
        <f>-SUMIF('1.1 FY2016'!$B:$B, '2.1 Database'!$B24, '1.1 FY2016'!$F:$F)</f>
        <v>0</v>
      </c>
      <c r="G24" s="28">
        <f>-SUMIF('1.2 FY2017'!$B:$B, '2.1 Database'!$B24, '1.2 FY2017'!$F:$F)</f>
        <v>0</v>
      </c>
      <c r="H24" s="28">
        <f>-SUMIF('1.3 FY2018'!$B:$B, '2.1 Database'!$B24, '1.3 FY2018'!$F:$F)</f>
        <v>0</v>
      </c>
    </row>
    <row r="25" spans="2:8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28">
        <f>-SUMIF('1.1 FY2016'!$B:$B, '2.1 Database'!$B25, '1.1 FY2016'!$F:$F)</f>
        <v>0</v>
      </c>
      <c r="G25" s="28">
        <f>-SUMIF('1.2 FY2017'!$B:$B, '2.1 Database'!$B25, '1.2 FY2017'!$F:$F)</f>
        <v>0</v>
      </c>
      <c r="H25" s="28">
        <f>-SUMIF('1.3 FY2018'!$B:$B, '2.1 Database'!$B25, '1.3 FY2018'!$F:$F)</f>
        <v>0</v>
      </c>
    </row>
    <row r="26" spans="2:8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28">
        <f>-SUMIF('1.1 FY2016'!$B:$B, '2.1 Database'!$B26, '1.1 FY2016'!$F:$F)</f>
        <v>0</v>
      </c>
      <c r="G26" s="28">
        <f>-SUMIF('1.2 FY2017'!$B:$B, '2.1 Database'!$B26, '1.2 FY2017'!$F:$F)</f>
        <v>0</v>
      </c>
      <c r="H26" s="28">
        <f>-SUMIF('1.3 FY2018'!$B:$B, '2.1 Database'!$B26, '1.3 FY2018'!$F:$F)</f>
        <v>0</v>
      </c>
    </row>
    <row r="27" spans="2:8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28">
        <f>-SUMIF('1.1 FY2016'!$B:$B, '2.1 Database'!$B27, '1.1 FY2016'!$F:$F)</f>
        <v>199600.4</v>
      </c>
      <c r="G27" s="28">
        <f>-SUMIF('1.2 FY2017'!$B:$B, '2.1 Database'!$B27, '1.2 FY2017'!$F:$F)</f>
        <v>10461.36</v>
      </c>
      <c r="H27" s="28">
        <f>-SUMIF('1.3 FY2018'!$B:$B, '2.1 Database'!$B27, '1.3 FY2018'!$F:$F)</f>
        <v>0</v>
      </c>
    </row>
    <row r="28" spans="2:8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28">
        <f>-SUMIF('1.1 FY2016'!$B:$B, '2.1 Database'!$B28, '1.1 FY2016'!$F:$F)</f>
        <v>539141.4</v>
      </c>
      <c r="G28" s="28">
        <f>-SUMIF('1.2 FY2017'!$B:$B, '2.1 Database'!$B28, '1.2 FY2017'!$F:$F)</f>
        <v>6785.94</v>
      </c>
      <c r="H28" s="28">
        <f>-SUMIF('1.3 FY2018'!$B:$B, '2.1 Database'!$B28, '1.3 FY2018'!$F:$F)</f>
        <v>902857.84299999999</v>
      </c>
    </row>
    <row r="29" spans="2:8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28">
        <f>-SUMIF('1.1 FY2016'!$B:$B, '2.1 Database'!$B29, '1.1 FY2016'!$F:$F)</f>
        <v>57.221999999999994</v>
      </c>
      <c r="G29" s="28">
        <f>-SUMIF('1.2 FY2017'!$B:$B, '2.1 Database'!$B29, '1.2 FY2017'!$F:$F)</f>
        <v>-9793.84</v>
      </c>
      <c r="H29" s="28">
        <f>-SUMIF('1.3 FY2018'!$B:$B, '2.1 Database'!$B29, '1.3 FY2018'!$F:$F)</f>
        <v>15872.001999999999</v>
      </c>
    </row>
    <row r="30" spans="2:8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28">
        <f>-SUMIF('1.1 FY2016'!$B:$B, '2.1 Database'!$B30, '1.1 FY2016'!$F:$F)</f>
        <v>-22314.879999999997</v>
      </c>
      <c r="G30" s="28">
        <f>-SUMIF('1.2 FY2017'!$B:$B, '2.1 Database'!$B30, '1.2 FY2017'!$F:$F)</f>
        <v>-65947.7</v>
      </c>
      <c r="H30" s="28">
        <f>-SUMIF('1.3 FY2018'!$B:$B, '2.1 Database'!$B30, '1.3 FY2018'!$F:$F)</f>
        <v>-57.317999999999998</v>
      </c>
    </row>
    <row r="31" spans="2:8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28">
        <f>-SUMIF('1.1 FY2016'!$B:$B, '2.1 Database'!$B31, '1.1 FY2016'!$F:$F)</f>
        <v>-204000</v>
      </c>
      <c r="G31" s="28">
        <f>-SUMIF('1.2 FY2017'!$B:$B, '2.1 Database'!$B31, '1.2 FY2017'!$F:$F)</f>
        <v>0</v>
      </c>
      <c r="H31" s="28">
        <f>-SUMIF('1.3 FY2018'!$B:$B, '2.1 Database'!$B31, '1.3 FY2018'!$F:$F)</f>
        <v>0</v>
      </c>
    </row>
    <row r="32" spans="2:8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28">
        <f>-SUMIF('1.1 FY2016'!$B:$B, '2.1 Database'!$B32, '1.1 FY2016'!$F:$F)</f>
        <v>-138.41399999999999</v>
      </c>
      <c r="G32" s="28">
        <f>-SUMIF('1.2 FY2017'!$B:$B, '2.1 Database'!$B32, '1.2 FY2017'!$F:$F)</f>
        <v>-5138.91</v>
      </c>
      <c r="H32" s="28">
        <f>-SUMIF('1.3 FY2018'!$B:$B, '2.1 Database'!$B32, '1.3 FY2018'!$F:$F)</f>
        <v>-19198.66</v>
      </c>
    </row>
    <row r="33" spans="2:8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28">
        <f>-SUMIF('1.1 FY2016'!$B:$B, '2.1 Database'!$B33, '1.1 FY2016'!$F:$F)</f>
        <v>-1127445.872</v>
      </c>
      <c r="G33" s="28">
        <f>-SUMIF('1.2 FY2017'!$B:$B, '2.1 Database'!$B33, '1.2 FY2017'!$F:$F)</f>
        <v>-1055381.4750000001</v>
      </c>
      <c r="H33" s="28">
        <f>-SUMIF('1.3 FY2018'!$B:$B, '2.1 Database'!$B33, '1.3 FY2018'!$F:$F)</f>
        <v>172933.44899999999</v>
      </c>
    </row>
    <row r="34" spans="2:8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28">
        <f>-SUMIF('1.1 FY2016'!$B:$B, '2.1 Database'!$B34, '1.1 FY2016'!$F:$F)</f>
        <v>-133722</v>
      </c>
      <c r="G34" s="28">
        <f>-SUMIF('1.2 FY2017'!$B:$B, '2.1 Database'!$B34, '1.2 FY2017'!$F:$F)</f>
        <v>0</v>
      </c>
      <c r="H34" s="28">
        <f>-SUMIF('1.3 FY2018'!$B:$B, '2.1 Database'!$B34, '1.3 FY2018'!$F:$F)</f>
        <v>0</v>
      </c>
    </row>
    <row r="35" spans="2:8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28">
        <f>-SUMIF('1.1 FY2016'!$B:$B, '2.1 Database'!$B35, '1.1 FY2016'!$F:$F)</f>
        <v>-328061.886</v>
      </c>
      <c r="G35" s="28">
        <f>-SUMIF('1.2 FY2017'!$B:$B, '2.1 Database'!$B35, '1.2 FY2017'!$F:$F)</f>
        <v>-430845.34499999997</v>
      </c>
      <c r="H35" s="28">
        <f>-SUMIF('1.3 FY2018'!$B:$B, '2.1 Database'!$B35, '1.3 FY2018'!$F:$F)</f>
        <v>0</v>
      </c>
    </row>
    <row r="36" spans="2:8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28">
        <f>-SUMIF('1.1 FY2016'!$B:$B, '2.1 Database'!$B36, '1.1 FY2016'!$F:$F)</f>
        <v>-2081304.3219999997</v>
      </c>
      <c r="G36" s="28">
        <f>-SUMIF('1.2 FY2017'!$B:$B, '2.1 Database'!$B36, '1.2 FY2017'!$F:$F)</f>
        <v>-1130021</v>
      </c>
      <c r="H36" s="28">
        <f>-SUMIF('1.3 FY2018'!$B:$B, '2.1 Database'!$B36, '1.3 FY2018'!$F:$F)</f>
        <v>-1481408.47</v>
      </c>
    </row>
    <row r="37" spans="2:8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28">
        <f>-SUMIF('1.1 FY2016'!$B:$B, '2.1 Database'!$B37, '1.1 FY2016'!$F:$F)</f>
        <v>-33410.031999999999</v>
      </c>
      <c r="G37" s="28">
        <f>-SUMIF('1.2 FY2017'!$B:$B, '2.1 Database'!$B37, '1.2 FY2017'!$F:$F)</f>
        <v>-7293.5450000000001</v>
      </c>
      <c r="H37" s="28">
        <f>-SUMIF('1.3 FY2018'!$B:$B, '2.1 Database'!$B37, '1.3 FY2018'!$F:$F)</f>
        <v>-40048.799999999996</v>
      </c>
    </row>
    <row r="38" spans="2:8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28">
        <f>-SUMIF('1.1 FY2016'!$B:$B, '2.1 Database'!$B38, '1.1 FY2016'!$F:$F)</f>
        <v>-213090.85199999998</v>
      </c>
      <c r="G38" s="28">
        <f>-SUMIF('1.2 FY2017'!$B:$B, '2.1 Database'!$B38, '1.2 FY2017'!$F:$F)</f>
        <v>-48468.665000000001</v>
      </c>
      <c r="H38" s="28">
        <f>-SUMIF('1.3 FY2018'!$B:$B, '2.1 Database'!$B38, '1.3 FY2018'!$F:$F)</f>
        <v>-64039.82699999999</v>
      </c>
    </row>
    <row r="39" spans="2:8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28">
        <f>-SUMIF('1.1 FY2016'!$B:$B, '2.1 Database'!$B39, '1.1 FY2016'!$F:$F)</f>
        <v>-1813525.004</v>
      </c>
      <c r="G39" s="28">
        <f>-SUMIF('1.2 FY2017'!$B:$B, '2.1 Database'!$B39, '1.2 FY2017'!$F:$F)</f>
        <v>-2393259.19</v>
      </c>
      <c r="H39" s="28">
        <f>-SUMIF('1.3 FY2018'!$B:$B, '2.1 Database'!$B39, '1.3 FY2018'!$F:$F)</f>
        <v>-2514431.8869999996</v>
      </c>
    </row>
    <row r="40" spans="2:8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28">
        <f>-SUMIF('1.1 FY2016'!$B:$B, '2.1 Database'!$B40, '1.1 FY2016'!$F:$F)</f>
        <v>-5552.2</v>
      </c>
      <c r="G40" s="28">
        <f>-SUMIF('1.2 FY2017'!$B:$B, '2.1 Database'!$B40, '1.2 FY2017'!$F:$F)</f>
        <v>-23069.654999999999</v>
      </c>
      <c r="H40" s="28">
        <f>-SUMIF('1.3 FY2018'!$B:$B, '2.1 Database'!$B40, '1.3 FY2018'!$F:$F)</f>
        <v>-4194.2999999999993</v>
      </c>
    </row>
    <row r="41" spans="2:8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28">
        <f>-SUMIF('1.1 FY2016'!$B:$B, '2.1 Database'!$B41, '1.1 FY2016'!$F:$F)</f>
        <v>-43868.975999999995</v>
      </c>
      <c r="G41" s="28">
        <f>-SUMIF('1.2 FY2017'!$B:$B, '2.1 Database'!$B41, '1.2 FY2017'!$F:$F)</f>
        <v>-208366.935</v>
      </c>
      <c r="H41" s="28">
        <f>-SUMIF('1.3 FY2018'!$B:$B, '2.1 Database'!$B41, '1.3 FY2018'!$F:$F)</f>
        <v>-106525.708</v>
      </c>
    </row>
    <row r="42" spans="2:8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28">
        <f>-SUMIF('1.1 FY2016'!$B:$B, '2.1 Database'!$B42, '1.1 FY2016'!$F:$F)</f>
        <v>-10934.671999999999</v>
      </c>
      <c r="G42" s="28">
        <f>-SUMIF('1.2 FY2017'!$B:$B, '2.1 Database'!$B42, '1.2 FY2017'!$F:$F)</f>
        <v>-20323.309999999998</v>
      </c>
      <c r="H42" s="28">
        <f>-SUMIF('1.3 FY2018'!$B:$B, '2.1 Database'!$B42, '1.3 FY2018'!$F:$F)</f>
        <v>-109811.284</v>
      </c>
    </row>
    <row r="43" spans="2:8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28">
        <f>-SUMIF('1.1 FY2016'!$B:$B, '2.1 Database'!$B43, '1.1 FY2016'!$F:$F)</f>
        <v>-20400</v>
      </c>
      <c r="G43" s="28">
        <f>-SUMIF('1.2 FY2017'!$B:$B, '2.1 Database'!$B43, '1.2 FY2017'!$F:$F)</f>
        <v>-169489</v>
      </c>
      <c r="H43" s="28">
        <f>-SUMIF('1.3 FY2018'!$B:$B, '2.1 Database'!$B43, '1.3 FY2018'!$F:$F)</f>
        <v>-61111.483999999997</v>
      </c>
    </row>
    <row r="44" spans="2:8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28">
        <f>-SUMIF('1.1 FY2016'!$B:$B, '2.1 Database'!$B44, '1.1 FY2016'!$F:$F)</f>
        <v>0</v>
      </c>
      <c r="G44" s="28">
        <f>-SUMIF('1.2 FY2017'!$B:$B, '2.1 Database'!$B44, '1.2 FY2017'!$F:$F)</f>
        <v>0</v>
      </c>
      <c r="H44" s="28">
        <f>-SUMIF('1.3 FY2018'!$B:$B, '2.1 Database'!$B44, '1.3 FY2018'!$F:$F)</f>
        <v>-1684415.2999999998</v>
      </c>
    </row>
    <row r="45" spans="2:8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28">
        <f>-SUMIF('1.1 FY2016'!$B:$B, '2.1 Database'!$B45, '1.1 FY2016'!$F:$F)</f>
        <v>-563918.152</v>
      </c>
      <c r="G45" s="28">
        <f>-SUMIF('1.2 FY2017'!$B:$B, '2.1 Database'!$B45, '1.2 FY2017'!$F:$F)</f>
        <v>-638869.13</v>
      </c>
      <c r="H45" s="28">
        <f>-SUMIF('1.3 FY2018'!$B:$B, '2.1 Database'!$B45, '1.3 FY2018'!$F:$F)</f>
        <v>-575626.2649999999</v>
      </c>
    </row>
    <row r="46" spans="2:8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28">
        <f>-SUMIF('1.1 FY2016'!$B:$B, '2.1 Database'!$B46, '1.1 FY2016'!$F:$F)</f>
        <v>0</v>
      </c>
      <c r="G46" s="28">
        <f>-SUMIF('1.2 FY2017'!$B:$B, '2.1 Database'!$B46, '1.2 FY2017'!$F:$F)</f>
        <v>0</v>
      </c>
      <c r="H46" s="28">
        <f>-SUMIF('1.3 FY2018'!$B:$B, '2.1 Database'!$B46, '1.3 FY2018'!$F:$F)</f>
        <v>0</v>
      </c>
    </row>
    <row r="47" spans="2:8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28">
        <f>-SUMIF('1.1 FY2016'!$B:$B, '2.1 Database'!$B47, '1.1 FY2016'!$F:$F)</f>
        <v>0</v>
      </c>
      <c r="G47" s="28">
        <f>-SUMIF('1.2 FY2017'!$B:$B, '2.1 Database'!$B47, '1.2 FY2017'!$F:$F)</f>
        <v>0</v>
      </c>
      <c r="H47" s="28">
        <f>-SUMIF('1.3 FY2018'!$B:$B, '2.1 Database'!$B47, '1.3 FY2018'!$F:$F)</f>
        <v>0</v>
      </c>
    </row>
    <row r="48" spans="2:8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28">
        <f>-SUMIF('1.1 FY2016'!$B:$B, '2.1 Database'!$B48, '1.1 FY2016'!$F:$F)</f>
        <v>0</v>
      </c>
      <c r="G48" s="28">
        <f>-SUMIF('1.2 FY2017'!$B:$B, '2.1 Database'!$B48, '1.2 FY2017'!$F:$F)</f>
        <v>0</v>
      </c>
      <c r="H48" s="28">
        <f>-SUMIF('1.3 FY2018'!$B:$B, '2.1 Database'!$B48, '1.3 FY2018'!$F:$F)</f>
        <v>0</v>
      </c>
    </row>
    <row r="49" spans="2:8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28">
        <f>-SUMIF('1.1 FY2016'!$B:$B, '2.1 Database'!$B49, '1.1 FY2016'!$F:$F)</f>
        <v>0</v>
      </c>
      <c r="G49" s="28">
        <f>-SUMIF('1.2 FY2017'!$B:$B, '2.1 Database'!$B49, '1.2 FY2017'!$F:$F)</f>
        <v>0</v>
      </c>
      <c r="H49" s="28">
        <f>-SUMIF('1.3 FY2018'!$B:$B, '2.1 Database'!$B49, '1.3 FY2018'!$F:$F)</f>
        <v>0</v>
      </c>
    </row>
    <row r="50" spans="2:8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28">
        <f>-SUMIF('1.1 FY2016'!$B:$B, '2.1 Database'!$B50, '1.1 FY2016'!$F:$F)</f>
        <v>0</v>
      </c>
      <c r="G50" s="28">
        <f>-SUMIF('1.2 FY2017'!$B:$B, '2.1 Database'!$B50, '1.2 FY2017'!$F:$F)</f>
        <v>0</v>
      </c>
      <c r="H50" s="28">
        <f>-SUMIF('1.3 FY2018'!$B:$B, '2.1 Database'!$B50, '1.3 FY2018'!$F:$F)</f>
        <v>0</v>
      </c>
    </row>
    <row r="51" spans="2:8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28">
        <f>-SUMIF('1.1 FY2016'!$B:$B, '2.1 Database'!$B51, '1.1 FY2016'!$F:$F)</f>
        <v>0</v>
      </c>
      <c r="G51" s="28">
        <f>-SUMIF('1.2 FY2017'!$B:$B, '2.1 Database'!$B51, '1.2 FY2017'!$F:$F)</f>
        <v>0</v>
      </c>
      <c r="H51" s="28">
        <f>-SUMIF('1.3 FY2018'!$B:$B, '2.1 Database'!$B51, '1.3 FY2018'!$F:$F)</f>
        <v>0</v>
      </c>
    </row>
    <row r="52" spans="2:8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28">
        <f>-SUMIF('1.1 FY2016'!$B:$B, '2.1 Database'!$B52, '1.1 FY2016'!$F:$F)</f>
        <v>35810.228000000003</v>
      </c>
      <c r="G52" s="28">
        <f>-SUMIF('1.2 FY2017'!$B:$B, '2.1 Database'!$B52, '1.2 FY2017'!$F:$F)</f>
        <v>34224.959999999999</v>
      </c>
      <c r="H52" s="28">
        <f>-SUMIF('1.3 FY2018'!$B:$B, '2.1 Database'!$B52, '1.3 FY2018'!$F:$F)</f>
        <v>0</v>
      </c>
    </row>
    <row r="53" spans="2:8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28">
        <f>-SUMIF('1.1 FY2016'!$B:$B, '2.1 Database'!$B53, '1.1 FY2016'!$F:$F)</f>
        <v>51927.417999999998</v>
      </c>
      <c r="G53" s="28">
        <f>-SUMIF('1.2 FY2017'!$B:$B, '2.1 Database'!$B53, '1.2 FY2017'!$F:$F)</f>
        <v>2204.7199999999998</v>
      </c>
      <c r="H53" s="28">
        <f>-SUMIF('1.3 FY2018'!$B:$B, '2.1 Database'!$B53, '1.3 FY2018'!$F:$F)</f>
        <v>73809.511999999988</v>
      </c>
    </row>
    <row r="54" spans="2:8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28">
        <f>-SUMIF('1.1 FY2016'!$B:$B, '2.1 Database'!$B54, '1.1 FY2016'!$F:$F)</f>
        <v>862270.63399999996</v>
      </c>
      <c r="G54" s="28">
        <f>-SUMIF('1.2 FY2017'!$B:$B, '2.1 Database'!$B54, '1.2 FY2017'!$F:$F)</f>
        <v>0</v>
      </c>
      <c r="H54" s="28">
        <f>-SUMIF('1.3 FY2018'!$B:$B, '2.1 Database'!$B54, '1.3 FY2018'!$F:$F)</f>
        <v>0</v>
      </c>
    </row>
    <row r="55" spans="2:8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28">
        <f>-SUMIF('1.1 FY2016'!$B:$B, '2.1 Database'!$B55, '1.1 FY2016'!$F:$F)</f>
        <v>-22763</v>
      </c>
      <c r="G55" s="28">
        <f>-SUMIF('1.2 FY2017'!$B:$B, '2.1 Database'!$B55, '1.2 FY2017'!$F:$F)</f>
        <v>-80617.179999999993</v>
      </c>
      <c r="H55" s="28">
        <f>-SUMIF('1.3 FY2018'!$B:$B, '2.1 Database'!$B55, '1.3 FY2018'!$F:$F)</f>
        <v>-7173.195999999999</v>
      </c>
    </row>
    <row r="56" spans="2:8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28">
        <f>-SUMIF('1.1 FY2016'!$B:$B, '2.1 Database'!$B56, '1.1 FY2016'!$F:$F)</f>
        <v>-2930430.0120000001</v>
      </c>
      <c r="G56" s="28">
        <f>-SUMIF('1.2 FY2017'!$B:$B, '2.1 Database'!$B56, '1.2 FY2017'!$F:$F)</f>
        <v>-2752704.22</v>
      </c>
      <c r="H56" s="28">
        <f>-SUMIF('1.3 FY2018'!$B:$B, '2.1 Database'!$B56, '1.3 FY2018'!$F:$F)</f>
        <v>-2324465.8859999999</v>
      </c>
    </row>
    <row r="57" spans="2:8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28">
        <f>-SUMIF('1.1 FY2016'!$B:$B, '2.1 Database'!$B57, '1.1 FY2016'!$F:$F)</f>
        <v>49378.641999999993</v>
      </c>
      <c r="G57" s="28">
        <f>-SUMIF('1.2 FY2017'!$B:$B, '2.1 Database'!$B57, '1.2 FY2017'!$F:$F)</f>
        <v>-496748.70000000007</v>
      </c>
      <c r="H57" s="28">
        <f>-SUMIF('1.3 FY2018'!$B:$B, '2.1 Database'!$B57, '1.3 FY2018'!$F:$F)</f>
        <v>-2558.1950000000002</v>
      </c>
    </row>
    <row r="58" spans="2:8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28">
        <f>-SUMIF('1.1 FY2016'!$B:$B, '2.1 Database'!$B58, '1.1 FY2016'!$F:$F)</f>
        <v>-516250.67</v>
      </c>
      <c r="G58" s="28">
        <f>-SUMIF('1.2 FY2017'!$B:$B, '2.1 Database'!$B58, '1.2 FY2017'!$F:$F)</f>
        <v>-480872.96000000002</v>
      </c>
      <c r="H58" s="28">
        <f>-SUMIF('1.3 FY2018'!$B:$B, '2.1 Database'!$B58, '1.3 FY2018'!$F:$F)</f>
        <v>-522710.353</v>
      </c>
    </row>
    <row r="59" spans="2:8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28">
        <f>-SUMIF('1.1 FY2016'!$B:$B, '2.1 Database'!$B59, '1.1 FY2016'!$F:$F)</f>
        <v>-21593.093999999997</v>
      </c>
      <c r="G59" s="28">
        <f>-SUMIF('1.2 FY2017'!$B:$B, '2.1 Database'!$B59, '1.2 FY2017'!$F:$F)</f>
        <v>-6570.3050000000003</v>
      </c>
      <c r="H59" s="28">
        <f>-SUMIF('1.3 FY2018'!$B:$B, '2.1 Database'!$B59, '1.3 FY2018'!$F:$F)</f>
        <v>160303.52199999997</v>
      </c>
    </row>
    <row r="60" spans="2:8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28">
        <f>+SUMIF('1.1 FY2016'!$B:$B, '2.1 Database'!$B60, '1.1 FY2016'!$F:$F)</f>
        <v>-2904117.9939999986</v>
      </c>
      <c r="G60" s="28">
        <f>-SUMIF('1.2 FY2017'!$B:$B, '2.1 Database'!$B60, '1.2 FY2017'!$F:$F)</f>
        <v>0</v>
      </c>
      <c r="H60" s="28">
        <f>-SUMIF('1.3 FY2018'!$B:$B, '2.1 Database'!$B60, '1.3 FY2018'!$F:$F)</f>
        <v>0</v>
      </c>
    </row>
    <row r="61" spans="2:8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28">
        <f>-SUMIF('1.1 FY2016'!$B:$B, '2.1 Database'!$B61, '1.1 FY2016'!$F:$F)</f>
        <v>0</v>
      </c>
      <c r="G61" s="28">
        <f>-SUMIF('1.2 FY2017'!$B:$B, '2.1 Database'!$B61, '1.2 FY2017'!$F:$F)</f>
        <v>355396.61499999999</v>
      </c>
      <c r="H61" s="28">
        <f>-SUMIF('1.3 FY2018'!$B:$B, '2.1 Database'!$B61, '1.3 FY2018'!$F:$F)</f>
        <v>616462.01899999997</v>
      </c>
    </row>
    <row r="62" spans="2:8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28">
        <f>-SUMIF('1.1 FY2016'!$B:$B, '2.1 Database'!$B62, '1.1 FY2016'!$F:$F)</f>
        <v>0</v>
      </c>
      <c r="G62" s="28">
        <f>-SUMIF('1.2 FY2017'!$B:$B, '2.1 Database'!$B62, '1.2 FY2017'!$F:$F)</f>
        <v>420017.14999999997</v>
      </c>
      <c r="H62" s="28">
        <f>-SUMIF('1.3 FY2018'!$B:$B, '2.1 Database'!$B62, '1.3 FY2018'!$F:$F)</f>
        <v>0</v>
      </c>
    </row>
    <row r="63" spans="2:8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28">
        <f>-SUMIF('1.1 FY2016'!$B:$B, '2.1 Database'!$B63, '1.1 FY2016'!$F:$F)</f>
        <v>0</v>
      </c>
      <c r="G63" s="28">
        <f>-SUMIF('1.2 FY2017'!$B:$B, '2.1 Database'!$B63, '1.2 FY2017'!$F:$F)</f>
        <v>-14589.33</v>
      </c>
      <c r="H63" s="28">
        <f>-SUMIF('1.3 FY2018'!$B:$B, '2.1 Database'!$B63, '1.3 FY2018'!$F:$F)</f>
        <v>-20504.509999999998</v>
      </c>
    </row>
    <row r="64" spans="2:8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28">
        <f>-SUMIF('1.1 FY2016'!$B:$B, '2.1 Database'!$B64, '1.1 FY2016'!$F:$F)</f>
        <v>0</v>
      </c>
      <c r="G64" s="28">
        <f>-SUMIF('1.2 FY2017'!$B:$B, '2.1 Database'!$B64, '1.2 FY2017'!$F:$F)</f>
        <v>-38521</v>
      </c>
      <c r="H64" s="28">
        <f>-SUMIF('1.3 FY2018'!$B:$B, '2.1 Database'!$B64, '1.3 FY2018'!$F:$F)</f>
        <v>0</v>
      </c>
    </row>
    <row r="65" spans="2:8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28">
        <f>-SUMIF('1.1 FY2016'!$B:$B, '2.1 Database'!$B65, '1.1 FY2016'!$F:$F)</f>
        <v>0</v>
      </c>
      <c r="G65" s="28">
        <f>-SUMIF('1.2 FY2017'!$B:$B, '2.1 Database'!$B65, '1.2 FY2017'!$F:$F)</f>
        <v>-1820</v>
      </c>
      <c r="H65" s="28">
        <f>-SUMIF('1.3 FY2018'!$B:$B, '2.1 Database'!$B65, '1.3 FY2018'!$F:$F)</f>
        <v>0</v>
      </c>
    </row>
    <row r="66" spans="2:8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28">
        <f>-SUMIF('1.1 FY2016'!$B:$B, '2.1 Database'!$B66, '1.1 FY2016'!$F:$F)</f>
        <v>0</v>
      </c>
      <c r="G66" s="28">
        <f>-SUMIF('1.2 FY2017'!$B:$B, '2.1 Database'!$B66, '1.2 FY2017'!$F:$F)</f>
        <v>-10448.129999999999</v>
      </c>
      <c r="H66" s="28">
        <f>-SUMIF('1.3 FY2018'!$B:$B, '2.1 Database'!$B66, '1.3 FY2018'!$F:$F)</f>
        <v>-673.34299999999985</v>
      </c>
    </row>
    <row r="67" spans="2:8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28">
        <f>-SUMIF('1.1 FY2016'!$B:$B, '2.1 Database'!$B67, '1.1 FY2016'!$F:$F)</f>
        <v>0</v>
      </c>
      <c r="G67" s="28">
        <f>-SUMIF('1.2 FY2017'!$B:$B, '2.1 Database'!$B67, '1.2 FY2017'!$F:$F)</f>
        <v>-10412.5</v>
      </c>
      <c r="H67" s="28">
        <f>-SUMIF('1.3 FY2018'!$B:$B, '2.1 Database'!$B67, '1.3 FY2018'!$F:$F)</f>
        <v>0</v>
      </c>
    </row>
    <row r="68" spans="2:8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28">
        <f>-SUMIF('1.1 FY2016'!$B:$B, '2.1 Database'!$B68, '1.1 FY2016'!$F:$F)</f>
        <v>0</v>
      </c>
      <c r="G68" s="28">
        <f>-SUMIF('1.2 FY2017'!$B:$B, '2.1 Database'!$B68, '1.2 FY2017'!$F:$F)</f>
        <v>-6919.8499999999995</v>
      </c>
      <c r="H68" s="28">
        <f>-SUMIF('1.3 FY2018'!$B:$B, '2.1 Database'!$B68, '1.3 FY2018'!$F:$F)</f>
        <v>0</v>
      </c>
    </row>
    <row r="69" spans="2:8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28">
        <f>-SUMIF('1.1 FY2016'!$B:$B, '2.1 Database'!$B69, '1.1 FY2016'!$F:$F)</f>
        <v>0</v>
      </c>
      <c r="G69" s="28">
        <f>-SUMIF('1.2 FY2017'!$B:$B, '2.1 Database'!$B69, '1.2 FY2017'!$F:$F)</f>
        <v>-146328.94499999998</v>
      </c>
      <c r="H69" s="28">
        <f>-SUMIF('1.3 FY2018'!$B:$B, '2.1 Database'!$B69, '1.3 FY2018'!$F:$F)</f>
        <v>-12593.355</v>
      </c>
    </row>
    <row r="70" spans="2:8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28">
        <f>-SUMIF('1.1 FY2016'!$B:$B, '2.1 Database'!$B70, '1.1 FY2016'!$F:$F)</f>
        <v>0</v>
      </c>
      <c r="G70" s="28">
        <f>-SUMIF('1.2 FY2017'!$B:$B, '2.1 Database'!$B70, '1.2 FY2017'!$F:$F)</f>
        <v>121553.07499999998</v>
      </c>
      <c r="H70" s="28">
        <f>-SUMIF('1.3 FY2018'!$B:$B, '2.1 Database'!$B70, '1.3 FY2018'!$F:$F)</f>
        <v>0</v>
      </c>
    </row>
    <row r="71" spans="2:8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28">
        <f>-SUMIF('1.1 FY2016'!$B:$B, '2.1 Database'!$B71, '1.1 FY2016'!$F:$F)</f>
        <v>0</v>
      </c>
      <c r="G71" s="28">
        <f>-SUMIF('1.2 FY2017'!$B:$B, '2.1 Database'!$B71, '1.2 FY2017'!$F:$F)</f>
        <v>416278.66</v>
      </c>
      <c r="H71" s="28">
        <f>-SUMIF('1.3 FY2018'!$B:$B, '2.1 Database'!$B71, '1.3 FY2018'!$F:$F)</f>
        <v>622966.38600000006</v>
      </c>
    </row>
    <row r="72" spans="2:8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28">
        <f>-SUMIF('1.1 FY2016'!$B:$B, '2.1 Database'!$B72, '1.1 FY2016'!$F:$F)</f>
        <v>0</v>
      </c>
      <c r="G72" s="28">
        <f>-SUMIF('1.2 FY2017'!$B:$B, '2.1 Database'!$B72, '1.2 FY2017'!$F:$F)</f>
        <v>364243.84499999997</v>
      </c>
      <c r="H72" s="28">
        <f>-SUMIF('1.3 FY2018'!$B:$B, '2.1 Database'!$B72, '1.3 FY2018'!$F:$F)</f>
        <v>0</v>
      </c>
    </row>
    <row r="73" spans="2:8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28">
        <f>-SUMIF('1.1 FY2016'!$B:$B, '2.1 Database'!$B73, '1.1 FY2016'!$F:$F)</f>
        <v>0</v>
      </c>
      <c r="G73" s="28">
        <f>-SUMIF('1.2 FY2017'!$B:$B, '2.1 Database'!$B73, '1.2 FY2017'!$F:$F)</f>
        <v>0</v>
      </c>
      <c r="H73" s="28">
        <f>-SUMIF('1.3 FY2018'!$B:$B, '2.1 Database'!$B73, '1.3 FY2018'!$F:$F)</f>
        <v>0</v>
      </c>
    </row>
    <row r="74" spans="2:8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28">
        <f>-SUMIF('1.1 FY2016'!$B:$B, '2.1 Database'!$B74, '1.1 FY2016'!$F:$F)</f>
        <v>0</v>
      </c>
      <c r="G74" s="28">
        <f>-SUMIF('1.2 FY2017'!$B:$B, '2.1 Database'!$B74, '1.2 FY2017'!$F:$F)</f>
        <v>482611.04499999998</v>
      </c>
      <c r="H74" s="28">
        <f>-SUMIF('1.3 FY2018'!$B:$B, '2.1 Database'!$B74, '1.3 FY2018'!$F:$F)</f>
        <v>1948832.1429999999</v>
      </c>
    </row>
    <row r="75" spans="2:8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28">
        <f>-SUMIF('1.1 FY2016'!$B:$B, '2.1 Database'!$B75, '1.1 FY2016'!$F:$F)</f>
        <v>0</v>
      </c>
      <c r="G75" s="28">
        <f>-SUMIF('1.2 FY2017'!$B:$B, '2.1 Database'!$B75, '1.2 FY2017'!$F:$F)</f>
        <v>2436.35</v>
      </c>
      <c r="H75" s="28">
        <f>-SUMIF('1.3 FY2018'!$B:$B, '2.1 Database'!$B75, '1.3 FY2018'!$F:$F)</f>
        <v>0</v>
      </c>
    </row>
    <row r="76" spans="2:8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28">
        <f>-SUMIF('1.1 FY2016'!$B:$B, '2.1 Database'!$B76, '1.1 FY2016'!$F:$F)</f>
        <v>0</v>
      </c>
      <c r="G76" s="28">
        <f>-SUMIF('1.2 FY2017'!$B:$B, '2.1 Database'!$B76, '1.2 FY2017'!$F:$F)</f>
        <v>-81.339999999999989</v>
      </c>
      <c r="H76" s="28">
        <f>-SUMIF('1.3 FY2018'!$B:$B, '2.1 Database'!$B76, '1.3 FY2018'!$F:$F)</f>
        <v>0</v>
      </c>
    </row>
    <row r="77" spans="2:8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28">
        <f>-SUMIF('1.1 FY2016'!$B:$B, '2.1 Database'!$B77, '1.1 FY2016'!$F:$F)</f>
        <v>0</v>
      </c>
      <c r="G77" s="28">
        <f>-SUMIF('1.2 FY2017'!$B:$B, '2.1 Database'!$B77, '1.2 FY2017'!$F:$F)</f>
        <v>-276920</v>
      </c>
      <c r="H77" s="28">
        <f>-SUMIF('1.3 FY2018'!$B:$B, '2.1 Database'!$B77, '1.3 FY2018'!$F:$F)</f>
        <v>-473575.46100000001</v>
      </c>
    </row>
    <row r="78" spans="2:8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28">
        <f>-SUMIF('1.1 FY2016'!$B:$B, '2.1 Database'!$B78, '1.1 FY2016'!$F:$F)</f>
        <v>0</v>
      </c>
      <c r="G78" s="28">
        <f>-SUMIF('1.2 FY2017'!$B:$B, '2.1 Database'!$B78, '1.2 FY2017'!$F:$F)</f>
        <v>0</v>
      </c>
      <c r="H78" s="28">
        <f>-SUMIF('1.3 FY2018'!$B:$B, '2.1 Database'!$B78, '1.3 FY2018'!$F:$F)</f>
        <v>0</v>
      </c>
    </row>
    <row r="79" spans="2:8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28">
        <f>-SUMIF('1.1 FY2016'!$B:$B, '2.1 Database'!$B79, '1.1 FY2016'!$F:$F)</f>
        <v>0</v>
      </c>
      <c r="G79" s="28">
        <f>-SUMIF('1.2 FY2017'!$B:$B, '2.1 Database'!$B79, '1.2 FY2017'!$F:$F)</f>
        <v>-23928.799999999999</v>
      </c>
      <c r="H79" s="28">
        <f>-SUMIF('1.3 FY2018'!$B:$B, '2.1 Database'!$B79, '1.3 FY2018'!$F:$F)</f>
        <v>0</v>
      </c>
    </row>
    <row r="80" spans="2:8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28">
        <f>-SUMIF('1.1 FY2016'!$B:$B, '2.1 Database'!$B80, '1.1 FY2016'!$F:$F)</f>
        <v>0</v>
      </c>
      <c r="G80" s="28">
        <f>-SUMIF('1.2 FY2017'!$B:$B, '2.1 Database'!$B80, '1.2 FY2017'!$F:$F)</f>
        <v>-308232</v>
      </c>
      <c r="H80" s="28">
        <f>-SUMIF('1.3 FY2018'!$B:$B, '2.1 Database'!$B80, '1.3 FY2018'!$F:$F)</f>
        <v>0</v>
      </c>
    </row>
    <row r="81" spans="2:8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28">
        <f>-SUMIF('1.1 FY2016'!$B:$B, '2.1 Database'!$B81, '1.1 FY2016'!$F:$F)</f>
        <v>0</v>
      </c>
      <c r="G81" s="28">
        <f>-SUMIF('1.2 FY2017'!$B:$B, '2.1 Database'!$B81, '1.2 FY2017'!$F:$F)</f>
        <v>-13422.779999999999</v>
      </c>
      <c r="H81" s="28">
        <f>-SUMIF('1.3 FY2018'!$B:$B, '2.1 Database'!$B81, '1.3 FY2018'!$F:$F)</f>
        <v>0</v>
      </c>
    </row>
    <row r="82" spans="2:8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28">
        <f>-SUMIF('1.1 FY2016'!$B:$B, '2.1 Database'!$B82, '1.1 FY2016'!$F:$F)</f>
        <v>0</v>
      </c>
      <c r="G82" s="28">
        <f>-SUMIF('1.2 FY2017'!$B:$B, '2.1 Database'!$B82, '1.2 FY2017'!$F:$F)</f>
        <v>-4045.6150000000002</v>
      </c>
      <c r="H82" s="28">
        <f>-SUMIF('1.3 FY2018'!$B:$B, '2.1 Database'!$B82, '1.3 FY2018'!$F:$F)</f>
        <v>0</v>
      </c>
    </row>
    <row r="83" spans="2:8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28">
        <f>-SUMIF('1.1 FY2016'!$B:$B, '2.1 Database'!$B83, '1.1 FY2016'!$F:$F)</f>
        <v>0</v>
      </c>
      <c r="G83" s="28">
        <f>-SUMIF('1.2 FY2017'!$B:$B, '2.1 Database'!$B83, '1.2 FY2017'!$F:$F)</f>
        <v>-49621.144999999997</v>
      </c>
      <c r="H83" s="28">
        <f>-SUMIF('1.3 FY2018'!$B:$B, '2.1 Database'!$B83, '1.3 FY2018'!$F:$F)</f>
        <v>0</v>
      </c>
    </row>
    <row r="84" spans="2:8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28">
        <f>-SUMIF('1.1 FY2016'!$B:$B, '2.1 Database'!$B84, '1.1 FY2016'!$F:$F)</f>
        <v>0</v>
      </c>
      <c r="G84" s="28">
        <f>-SUMIF('1.2 FY2017'!$B:$B, '2.1 Database'!$B84, '1.2 FY2017'!$F:$F)</f>
        <v>-85462.684999999998</v>
      </c>
      <c r="H84" s="28">
        <f>-SUMIF('1.3 FY2018'!$B:$B, '2.1 Database'!$B84, '1.3 FY2018'!$F:$F)</f>
        <v>0</v>
      </c>
    </row>
    <row r="85" spans="2:8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28">
        <f>-SUMIF('1.1 FY2016'!$B:$B, '2.1 Database'!$B85, '1.1 FY2016'!$F:$F)</f>
        <v>0</v>
      </c>
      <c r="G85" s="28">
        <f>-SUMIF('1.2 FY2017'!$B:$B, '2.1 Database'!$B85, '1.2 FY2017'!$F:$F)</f>
        <v>-11422.144999999999</v>
      </c>
      <c r="H85" s="28">
        <f>-SUMIF('1.3 FY2018'!$B:$B, '2.1 Database'!$B85, '1.3 FY2018'!$F:$F)</f>
        <v>0</v>
      </c>
    </row>
    <row r="86" spans="2:8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28">
        <f>-SUMIF('1.1 FY2016'!$B:$B, '2.1 Database'!$B86, '1.1 FY2016'!$F:$F)</f>
        <v>0</v>
      </c>
      <c r="G86" s="28">
        <f>-SUMIF('1.2 FY2017'!$B:$B, '2.1 Database'!$B86, '1.2 FY2017'!$F:$F)</f>
        <v>-84438.864999999991</v>
      </c>
      <c r="H86" s="28">
        <f>-SUMIF('1.3 FY2018'!$B:$B, '2.1 Database'!$B86, '1.3 FY2018'!$F:$F)</f>
        <v>0</v>
      </c>
    </row>
    <row r="87" spans="2:8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28">
        <f>-SUMIF('1.1 FY2016'!$B:$B, '2.1 Database'!$B87, '1.1 FY2016'!$F:$F)</f>
        <v>0</v>
      </c>
      <c r="G87" s="28">
        <f>-SUMIF('1.2 FY2017'!$B:$B, '2.1 Database'!$B87, '1.2 FY2017'!$F:$F)</f>
        <v>0</v>
      </c>
      <c r="H87" s="28">
        <f>-SUMIF('1.3 FY2018'!$B:$B, '2.1 Database'!$B87, '1.3 FY2018'!$F:$F)</f>
        <v>0</v>
      </c>
    </row>
    <row r="88" spans="2:8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28">
        <f>-SUMIF('1.1 FY2016'!$B:$B, '2.1 Database'!$B88, '1.1 FY2016'!$F:$F)</f>
        <v>0</v>
      </c>
      <c r="G88" s="28">
        <f>-SUMIF('1.2 FY2017'!$B:$B, '2.1 Database'!$B88, '1.2 FY2017'!$F:$F)</f>
        <v>0</v>
      </c>
      <c r="H88" s="28">
        <f>-SUMIF('1.3 FY2018'!$B:$B, '2.1 Database'!$B88, '1.3 FY2018'!$F:$F)</f>
        <v>0</v>
      </c>
    </row>
    <row r="89" spans="2:8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28">
        <f>-SUMIF('1.1 FY2016'!$B:$B, '2.1 Database'!$B89, '1.1 FY2016'!$F:$F)</f>
        <v>0</v>
      </c>
      <c r="G89" s="28">
        <f>-SUMIF('1.2 FY2017'!$B:$B, '2.1 Database'!$B89, '1.2 FY2017'!$F:$F)</f>
        <v>6778.415</v>
      </c>
      <c r="H89" s="28">
        <f>-SUMIF('1.3 FY2018'!$B:$B, '2.1 Database'!$B89, '1.3 FY2018'!$F:$F)</f>
        <v>0</v>
      </c>
    </row>
    <row r="90" spans="2:8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28">
        <f>-SUMIF('1.1 FY2016'!$B:$B, '2.1 Database'!$B90, '1.1 FY2016'!$F:$F)</f>
        <v>0</v>
      </c>
      <c r="G90" s="28">
        <f>-SUMIF('1.2 FY2017'!$B:$B, '2.1 Database'!$B90, '1.2 FY2017'!$F:$F)</f>
        <v>0</v>
      </c>
      <c r="H90" s="28">
        <f>-SUMIF('1.3 FY2018'!$B:$B, '2.1 Database'!$B90, '1.3 FY2018'!$F:$F)</f>
        <v>0</v>
      </c>
    </row>
    <row r="91" spans="2:8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28">
        <f>-SUMIF('1.1 FY2016'!$B:$B, '2.1 Database'!$B91, '1.1 FY2016'!$F:$F)</f>
        <v>0</v>
      </c>
      <c r="G91" s="28">
        <f>-SUMIF('1.2 FY2017'!$B:$B, '2.1 Database'!$B91, '1.2 FY2017'!$F:$F)</f>
        <v>-1250.7950000000001</v>
      </c>
      <c r="H91" s="28">
        <f>-SUMIF('1.3 FY2018'!$B:$B, '2.1 Database'!$B91, '1.3 FY2018'!$F:$F)</f>
        <v>-51.454999999999998</v>
      </c>
    </row>
    <row r="92" spans="2:8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28">
        <f>-SUMIF('1.1 FY2016'!$B:$B, '2.1 Database'!$B92, '1.1 FY2016'!$F:$F)</f>
        <v>0</v>
      </c>
      <c r="G92" s="28">
        <f>-SUMIF('1.2 FY2017'!$B:$B, '2.1 Database'!$B92, '1.2 FY2017'!$F:$F)</f>
        <v>-4130000</v>
      </c>
      <c r="H92" s="28">
        <f>-SUMIF('1.3 FY2018'!$B:$B, '2.1 Database'!$B92, '1.3 FY2018'!$F:$F)</f>
        <v>0</v>
      </c>
    </row>
    <row r="93" spans="2:8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28">
        <f>-SUMIF('1.1 FY2016'!$B:$B, '2.1 Database'!$B93, '1.1 FY2016'!$F:$F)</f>
        <v>0</v>
      </c>
      <c r="G93" s="28">
        <f>-SUMIF('1.2 FY2017'!$B:$B, '2.1 Database'!$B93, '1.2 FY2017'!$F:$F)</f>
        <v>0</v>
      </c>
      <c r="H93" s="28">
        <f>-SUMIF('1.3 FY2018'!$B:$B, '2.1 Database'!$B93, '1.3 FY2018'!$F:$F)</f>
        <v>0</v>
      </c>
    </row>
    <row r="94" spans="2:8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28">
        <f>-SUMIF('1.1 FY2016'!$B:$B, '2.1 Database'!$B94, '1.1 FY2016'!$F:$F)</f>
        <v>0</v>
      </c>
      <c r="G94" s="28">
        <f>SUMIF('1.2 FY2017'!$B:$B, '2.1 Database'!$B94, '1.2 FY2017'!$F:$F)</f>
        <v>6073808.1600000001</v>
      </c>
      <c r="H94" s="28">
        <f>SUMIF('1.3 FY2018'!$B:$B, '2.1 Database'!$B94, '1.3 FY2018'!$F:$F)</f>
        <v>-779290.47600000002</v>
      </c>
    </row>
    <row r="95" spans="2:8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28">
        <f>-SUMIF('1.1 FY2016'!$B:$B, '2.1 Database'!$B95, '1.1 FY2016'!$F:$F)</f>
        <v>0</v>
      </c>
      <c r="G95" s="28">
        <f>-SUMIF('1.2 FY2017'!$B:$B, '2.1 Database'!$B95, '1.2 FY2017'!$F:$F)</f>
        <v>0</v>
      </c>
      <c r="H95" s="28">
        <f>-SUMIF('1.3 FY2018'!$B:$B, '2.1 Database'!$B95, '1.3 FY2018'!$F:$F)</f>
        <v>-13691.949999999999</v>
      </c>
    </row>
    <row r="96" spans="2:8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28">
        <f>-SUMIF('1.1 FY2016'!$B:$B, '2.1 Database'!$B96, '1.1 FY2016'!$F:$F)</f>
        <v>0</v>
      </c>
      <c r="G96" s="28">
        <f>-SUMIF('1.2 FY2017'!$B:$B, '2.1 Database'!$B96, '1.2 FY2017'!$F:$F)</f>
        <v>0</v>
      </c>
      <c r="H96" s="28">
        <f>-SUMIF('1.3 FY2018'!$B:$B, '2.1 Database'!$B96, '1.3 FY2018'!$F:$F)</f>
        <v>-192017.14499999996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28">
        <f>-SUMIF('1.1 FY2016'!$B:$B, '2.1 Database'!$B97, '1.1 FY2016'!$F:$F)</f>
        <v>0</v>
      </c>
      <c r="G97" s="28">
        <f>-SUMIF('1.2 FY2017'!$B:$B, '2.1 Database'!$B97, '1.2 FY2017'!$F:$F)</f>
        <v>0</v>
      </c>
      <c r="H97" s="28">
        <f>-SUMIF('1.3 FY2018'!$B:$B, '2.1 Database'!$B97, '1.3 FY2018'!$F:$F)</f>
        <v>-375290.46599999996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28">
        <f>-SUMIF('1.1 FY2016'!$B:$B, '2.1 Database'!$B98, '1.1 FY2016'!$F:$F)</f>
        <v>0</v>
      </c>
      <c r="G98" s="28">
        <f>-SUMIF('1.2 FY2017'!$B:$B, '2.1 Database'!$B98, '1.2 FY2017'!$F:$F)</f>
        <v>0</v>
      </c>
      <c r="H98" s="28">
        <f>-SUMIF('1.3 FY2018'!$B:$B, '2.1 Database'!$B98, '1.3 FY2018'!$F:$F)</f>
        <v>-4920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28">
        <f>-SUMIF('1.1 FY2016'!$B:$B, '2.1 Database'!$B99, '1.1 FY2016'!$F:$F)</f>
        <v>0</v>
      </c>
      <c r="G99" s="28">
        <f>-SUMIF('1.2 FY2017'!$B:$B, '2.1 Database'!$B99, '1.2 FY2017'!$F:$F)</f>
        <v>0</v>
      </c>
      <c r="H99" s="28">
        <f>-SUMIF('1.3 FY2018'!$B:$B, '2.1 Database'!$B99, '1.3 FY2018'!$F:$F)</f>
        <v>0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28">
        <f>-SUMIF('1.1 FY2016'!$B:$B, '2.1 Database'!$B100, '1.1 FY2016'!$F:$F)</f>
        <v>0</v>
      </c>
      <c r="G100" s="28">
        <f>-SUMIF('1.2 FY2017'!$B:$B, '2.1 Database'!$B100, '1.2 FY2017'!$F:$F)</f>
        <v>0</v>
      </c>
      <c r="H100" s="28">
        <f>-SUMIF('1.3 FY2018'!$B:$B, '2.1 Database'!$B100, '1.3 FY2018'!$F:$F)</f>
        <v>1252.8369999999998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28">
        <f>-SUMIF('1.1 FY2016'!$B:$B, '2.1 Database'!$B101, '1.1 FY2016'!$F:$F)</f>
        <v>0</v>
      </c>
      <c r="G101" s="28">
        <f>-SUMIF('1.2 FY2017'!$B:$B, '2.1 Database'!$B101, '1.2 FY2017'!$F:$F)</f>
        <v>0</v>
      </c>
      <c r="H101" s="28">
        <f>-SUMIF('1.3 FY2018'!$B:$B, '2.1 Database'!$B101, '1.3 FY2018'!$F:$F)</f>
        <v>0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28">
        <f>-SUMIF('1.1 FY2016'!$B:$B, '2.1 Database'!$B102, '1.1 FY2016'!$F:$F)</f>
        <v>0</v>
      </c>
      <c r="G102" s="28">
        <f>-SUMIF('1.2 FY2017'!$B:$B, '2.1 Database'!$B102, '1.2 FY2017'!$F:$F)</f>
        <v>0</v>
      </c>
      <c r="H102" s="28">
        <f>-SUMIF('1.3 FY2018'!$B:$B, '2.1 Database'!$B102, '1.3 FY2018'!$F:$F)</f>
        <v>61499.999999999993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28">
        <f>-SUMIF('1.1 FY2016'!$B:$B, '2.1 Database'!$B103, '1.1 FY2016'!$F:$F)</f>
        <v>0</v>
      </c>
      <c r="G103" s="28">
        <f>-SUMIF('1.2 FY2017'!$B:$B, '2.1 Database'!$B103, '1.2 FY2017'!$F:$F)</f>
        <v>0</v>
      </c>
      <c r="H103" s="28">
        <f>-SUMIF('1.3 FY2018'!$B:$B, '2.1 Database'!$B103, '1.3 FY2018'!$F:$F)</f>
        <v>30913.425999999996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28">
        <f>-SUMIF('1.1 FY2016'!$B:$B, '2.1 Database'!$B104, '1.1 FY2016'!$F:$F)</f>
        <v>0</v>
      </c>
      <c r="G104" s="28">
        <f>-SUMIF('1.2 FY2017'!$B:$B, '2.1 Database'!$B104, '1.2 FY2017'!$F:$F)</f>
        <v>0</v>
      </c>
      <c r="H104" s="28">
        <f>-SUMIF('1.3 FY2018'!$B:$B, '2.1 Database'!$B104, '1.3 FY2018'!$F:$F)</f>
        <v>1423120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28">
        <f>-SUMIF('1.1 FY2016'!$B:$B, '2.1 Database'!$B105, '1.1 FY2016'!$F:$F)</f>
        <v>0</v>
      </c>
      <c r="G105" s="28">
        <f>-SUMIF('1.2 FY2017'!$B:$B, '2.1 Database'!$B105, '1.2 FY2017'!$F:$F)</f>
        <v>0</v>
      </c>
      <c r="H105" s="28">
        <f>-SUMIF('1.3 FY2018'!$B:$B, '2.1 Database'!$B105, '1.3 FY2018'!$F:$F)</f>
        <v>-584.66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28">
        <f>-SUMIF('1.1 FY2016'!$B:$B, '2.1 Database'!$B106, '1.1 FY2016'!$F:$F)</f>
        <v>0</v>
      </c>
      <c r="G106" s="28">
        <f>-SUMIF('1.2 FY2017'!$B:$B, '2.1 Database'!$B106, '1.2 FY2017'!$F:$F)</f>
        <v>0</v>
      </c>
      <c r="H106" s="28">
        <f>-SUMIF('1.3 FY2018'!$B:$B, '2.1 Database'!$B106, '1.3 FY2018'!$F:$F)</f>
        <v>-1352.9999999999998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28">
        <f>-SUMIF('1.1 FY2016'!$B:$B, '2.1 Database'!$B107, '1.1 FY2016'!$F:$F)</f>
        <v>0</v>
      </c>
      <c r="G107" s="28">
        <f>-SUMIF('1.2 FY2017'!$B:$B, '2.1 Database'!$B107, '1.2 FY2017'!$F:$F)</f>
        <v>0</v>
      </c>
      <c r="H107" s="28">
        <f>-SUMIF('1.3 FY2018'!$B:$B, '2.1 Database'!$B107, '1.3 FY2018'!$F:$F)</f>
        <v>0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28">
        <f>-SUMIF('1.1 FY2016'!$B:$B, '2.1 Database'!$B108, '1.1 FY2016'!$F:$F)</f>
        <v>0</v>
      </c>
      <c r="G108" s="28">
        <f>-SUMIF('1.2 FY2017'!$B:$B, '2.1 Database'!$B108, '1.2 FY2017'!$F:$F)</f>
        <v>0</v>
      </c>
      <c r="H108" s="28">
        <f>-SUMIF('1.3 FY2018'!$B:$B, '2.1 Database'!$B108, '1.3 FY2018'!$F:$F)</f>
        <v>0</v>
      </c>
    </row>
    <row r="109" spans="2:8" ht="14.4" x14ac:dyDescent="0.3">
      <c r="B109"/>
      <c r="C109" s="2" t="s">
        <v>224</v>
      </c>
      <c r="D109" s="2" t="s">
        <v>224</v>
      </c>
      <c r="E109" s="2" t="s">
        <v>224</v>
      </c>
      <c r="F109" s="26" t="s">
        <v>224</v>
      </c>
      <c r="G109" s="26" t="s">
        <v>224</v>
      </c>
      <c r="H109" s="26" t="s">
        <v>224</v>
      </c>
    </row>
    <row r="110" spans="2:8" ht="14.4" x14ac:dyDescent="0.3">
      <c r="B110"/>
      <c r="F110" s="26">
        <f>SUM(F4:F108)</f>
        <v>0</v>
      </c>
      <c r="G110" s="26">
        <f t="shared" ref="G110:H110" si="0">SUM(G4:G108)</f>
        <v>0</v>
      </c>
      <c r="H110" s="26">
        <f t="shared" si="0"/>
        <v>1.7791990103432909E-9</v>
      </c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autoFilter ref="B3:H110" xr:uid="{00000000-0001-0000-0700-000000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2025-09-06T09:04:13Z</dcterms:modified>
</cp:coreProperties>
</file>