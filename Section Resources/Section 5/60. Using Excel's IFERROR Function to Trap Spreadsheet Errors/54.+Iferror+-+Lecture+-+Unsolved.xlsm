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99F03F65-6EE5-B2FF-AC1D-F4DDD12603F5}"/>
  <workbookPr filterPrivacy="1" codeName="ThisWorkbook" defaultThemeVersion="124226"/>
  <xr:revisionPtr revIDLastSave="0" documentId="13_ncr:1_{1A830955-8372-4A62-AF0C-BBA4E4EDD8B9}" xr6:coauthVersionLast="47" xr6:coauthVersionMax="47" xr10:uidLastSave="{00000000-0000-0000-0000-000000000000}"/>
  <bookViews>
    <workbookView xWindow="-108" yWindow="-108" windowWidth="23256" windowHeight="12456" firstSheet="13" activeTab="13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3" l="1"/>
  <c r="H6" i="13"/>
  <c r="H7" i="13"/>
  <c r="H8" i="13"/>
  <c r="H9" i="13"/>
  <c r="H10" i="13"/>
  <c r="H11" i="13"/>
  <c r="H12" i="13"/>
  <c r="H4" i="13"/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<sst xmlns="http://schemas.openxmlformats.org/spreadsheetml/2006/main" count="65111" uniqueCount="4264">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</sst>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4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1" fontId="1" fillId="3" borderId="0" xfId="0" applyNumberFormat="1" applyFont="1" applyFill="1"/>
    <xf numFmtId="0" fontId="0" fillId="3" borderId="0" xfId="0" applyFill="1"/>
    <xf numFmtId="0" fontId="0" fillId="3" borderId="0" xfId="0" applyFill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3" ht="15.6" x14ac:dyDescent="0.3">
      <c r="B1" s="3" t="s">
        <v>4261</v>
      </c>
      <c r="C1" s="2"/>
    </row>
    <row r="2" spans="2:3" x14ac:dyDescent="0.3">
      <c r="B2" s="30" t="s">
        <v>4256</v>
      </c>
      <c r="C2" s="2"/>
    </row>
    <row r="3" spans="2:3" x14ac:dyDescent="0.3">
      <c r="B3" s="30"/>
      <c r="C3" s="2"/>
    </row>
    <row r="4" spans="2:3" ht="15" thickBot="1" x14ac:dyDescent="0.35">
      <c r="B4" s="31" t="s">
        <v>4257</v>
      </c>
      <c r="C4" s="31" t="s">
        <v>4258</v>
      </c>
    </row>
    <row r="5" spans="2:3" x14ac:dyDescent="0.3">
      <c r="B5" s="32">
        <v>1</v>
      </c>
      <c r="C5" s="33" t="s">
        <v>4255</v>
      </c>
    </row>
    <row r="6" spans="2:3" x14ac:dyDescent="0.3">
      <c r="B6" s="32">
        <v>2</v>
      </c>
      <c r="C6" s="33" t="s">
        <v>10</v>
      </c>
    </row>
    <row r="7" spans="2:3" x14ac:dyDescent="0.3">
      <c r="B7" s="32">
        <f>+B6+1</f>
        <v>3</v>
      </c>
      <c r="C7" s="33" t="s">
        <v>31</v>
      </c>
    </row>
    <row r="8" spans="2:3" x14ac:dyDescent="0.3">
      <c r="B8" s="32">
        <f t="shared" ref="B8:B27" si="0">+B7+1</f>
        <v>4</v>
      </c>
      <c r="C8" s="33" t="s">
        <v>32</v>
      </c>
    </row>
    <row r="9" spans="2:3" x14ac:dyDescent="0.3">
      <c r="B9" s="32">
        <f t="shared" si="0"/>
        <v>5</v>
      </c>
      <c r="C9" s="33" t="s">
        <v>11</v>
      </c>
    </row>
    <row r="10" spans="2:3" x14ac:dyDescent="0.3">
      <c r="B10" s="32">
        <f t="shared" si="0"/>
        <v>6</v>
      </c>
      <c r="C10" s="33" t="s">
        <v>33</v>
      </c>
    </row>
    <row r="11" spans="2:3" x14ac:dyDescent="0.3">
      <c r="B11" s="32">
        <f t="shared" si="0"/>
        <v>7</v>
      </c>
      <c r="C11" s="33" t="s">
        <v>34</v>
      </c>
    </row>
    <row r="12" spans="2:3" x14ac:dyDescent="0.3">
      <c r="B12" s="32">
        <f t="shared" si="0"/>
        <v>8</v>
      </c>
      <c r="C12" s="33" t="s">
        <v>1</v>
      </c>
    </row>
    <row r="13" spans="2:3" x14ac:dyDescent="0.3">
      <c r="B13" s="32">
        <f t="shared" si="0"/>
        <v>9</v>
      </c>
      <c r="C13" s="33" t="s">
        <v>2</v>
      </c>
    </row>
    <row r="14" spans="2:3" x14ac:dyDescent="0.3">
      <c r="B14" s="32">
        <f t="shared" si="0"/>
        <v>10</v>
      </c>
      <c r="C14" s="33" t="s">
        <v>35</v>
      </c>
    </row>
    <row r="15" spans="2:3" x14ac:dyDescent="0.3">
      <c r="B15" s="32">
        <f t="shared" si="0"/>
        <v>11</v>
      </c>
      <c r="C15" s="33" t="s">
        <v>36</v>
      </c>
    </row>
    <row r="16" spans="2:3" x14ac:dyDescent="0.3">
      <c r="B16" s="32">
        <f t="shared" si="0"/>
        <v>12</v>
      </c>
      <c r="C16" s="33" t="s">
        <v>37</v>
      </c>
    </row>
    <row r="17" spans="2:4" x14ac:dyDescent="0.3">
      <c r="B17" s="32">
        <f t="shared" si="0"/>
        <v>13</v>
      </c>
      <c r="C17" s="33" t="s">
        <v>3</v>
      </c>
    </row>
    <row r="18" spans="2:4" x14ac:dyDescent="0.3">
      <c r="B18" s="32">
        <f t="shared" si="0"/>
        <v>14</v>
      </c>
      <c r="C18" s="33" t="s">
        <v>5</v>
      </c>
    </row>
    <row r="19" spans="2:4" x14ac:dyDescent="0.3">
      <c r="B19" s="32">
        <f t="shared" si="0"/>
        <v>15</v>
      </c>
      <c r="C19" s="33" t="s">
        <v>4259</v>
      </c>
    </row>
    <row r="20" spans="2:4" x14ac:dyDescent="0.3">
      <c r="B20" s="32">
        <f t="shared" si="0"/>
        <v>16</v>
      </c>
      <c r="C20" s="33" t="s">
        <v>4</v>
      </c>
    </row>
    <row r="21" spans="2:4" x14ac:dyDescent="0.3">
      <c r="B21" s="32">
        <f t="shared" si="0"/>
        <v>17</v>
      </c>
      <c r="C21" s="33" t="s">
        <v>6</v>
      </c>
    </row>
    <row r="22" spans="2:4" x14ac:dyDescent="0.3">
      <c r="B22" s="32">
        <f t="shared" si="0"/>
        <v>18</v>
      </c>
      <c r="C22" s="33" t="s">
        <v>0</v>
      </c>
    </row>
    <row r="23" spans="2:4" x14ac:dyDescent="0.3">
      <c r="B23" s="32">
        <f t="shared" si="0"/>
        <v>19</v>
      </c>
      <c r="C23" s="33" t="s">
        <v>8</v>
      </c>
    </row>
    <row r="24" spans="2:4" x14ac:dyDescent="0.3">
      <c r="B24" s="32">
        <f t="shared" si="0"/>
        <v>20</v>
      </c>
      <c r="C24" s="33" t="s">
        <v>4247</v>
      </c>
    </row>
    <row r="25" spans="2:4" x14ac:dyDescent="0.3">
      <c r="B25" s="32">
        <f t="shared" si="0"/>
        <v>21</v>
      </c>
      <c r="C25" s="33" t="s">
        <v>4260</v>
      </c>
      <c r="D25" s="2"/>
    </row>
    <row r="26" spans="2:4" x14ac:dyDescent="0.3">
      <c r="B26" s="32">
        <f t="shared" si="0"/>
        <v>22</v>
      </c>
      <c r="C26" s="33" t="s">
        <v>7</v>
      </c>
      <c r="D26" s="2"/>
    </row>
    <row r="27" spans="2:4" x14ac:dyDescent="0.3">
      <c r="B27" s="32">
        <f t="shared" si="0"/>
        <v>23</v>
      </c>
      <c r="C27" s="33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18"/>
      <c r="D13" s="18"/>
      <c r="E13" s="19"/>
      <c r="F1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18"/>
      <c r="D13" s="18"/>
      <c r="E13" s="34">
        <f>+SUM(E4:E12)</f>
        <v>330</v>
      </c>
      <c r="F13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18"/>
      <c r="D13" s="18"/>
      <c r="E13" s="19">
        <f>SUM(E4:E12)</f>
        <v>330</v>
      </c>
      <c r="F13" s="19">
        <f>SUM(F4:F12)</f>
        <v>593</v>
      </c>
    </row>
    <row r="18" spans="3:5" x14ac:dyDescent="0.2">
      <c r="C18" s="24" t="s">
        <v>27</v>
      </c>
      <c r="E18" s="35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18"/>
      <c r="D13" s="18"/>
      <c r="E13" s="19">
        <f>SUM(E4:E12)</f>
        <v>330</v>
      </c>
      <c r="F13" s="19">
        <f>SUM(F4:F12)</f>
        <v>593</v>
      </c>
    </row>
    <row r="16" spans="2:6" ht="12" x14ac:dyDescent="0.25">
      <c r="C16" s="24" t="s">
        <v>28</v>
      </c>
      <c r="D16" s="24" t="s">
        <v>29</v>
      </c>
      <c r="F16" s="36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F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11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B14" s="5">
        <f>+COUNTA(B4:B12)</f>
        <v>9</v>
      </c>
      <c r="E14" s="5"/>
    </row>
    <row r="16" spans="2:6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33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F14" s="37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4" spans="2:6" x14ac:dyDescent="0.2">
      <c r="F14" s="37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30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30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43" t="str">
        <f>+HLOOKUP(H4,$B$3:$F$7,2,FALSE)</f>
        <v>Italy</v>
      </c>
    </row>
    <row r="5" spans="2:12" ht="12" x14ac:dyDescent="0.25">
      <c r="B5" s="30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30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30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4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4" t="s">
        <v>21</v>
      </c>
      <c r="I4" s="24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tabSelected="1" workbookViewId="0">
      <selection activeCell="L21" sqref="L21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38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39">
        <f>IFERROR(F4/$F$13, "n.a")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39">
        <f t="shared" ref="H5:H12" si="0">IFERROR(F5/$F$13, "n.a")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39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39" t="str">
        <f t="shared" si="0"/>
        <v>n.a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39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39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39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39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39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4" t="s">
        <v>45</v>
      </c>
      <c r="C4" s="24">
        <f>CHOOSE($I$4,C7,C8,C9)</f>
        <v>124</v>
      </c>
      <c r="D4" s="24">
        <f t="shared" ref="D4:F4" si="0">CHOOSE($I$4,D7,D8,D9)</f>
        <v>135</v>
      </c>
      <c r="E4" s="24">
        <f t="shared" si="0"/>
        <v>145</v>
      </c>
      <c r="F4" s="24">
        <f t="shared" si="0"/>
        <v>150</v>
      </c>
      <c r="I4" s="21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0"/>
      <c r="F15" s="37">
        <f>AVERAGEIF(D4:D12,"Yes",F4:F12)</f>
        <v>72.2</v>
      </c>
    </row>
    <row r="16" spans="2:6" x14ac:dyDescent="0.2">
      <c r="E16" s="20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28" t="s">
        <v>55</v>
      </c>
      <c r="C6" s="28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workbookViewId="0">
      <selection activeCell="E11" sqref="E11"/>
    </sheetView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2" t="s">
        <v>4248</v>
      </c>
      <c r="C3" s="23" t="s">
        <v>4249</v>
      </c>
    </row>
    <row r="4" spans="2:7" x14ac:dyDescent="0.2">
      <c r="B4" s="24" t="s">
        <v>56</v>
      </c>
      <c r="C4" s="25">
        <v>0.1</v>
      </c>
    </row>
    <row r="5" spans="2:7" x14ac:dyDescent="0.2">
      <c r="B5" s="24" t="s">
        <v>4245</v>
      </c>
      <c r="C5" s="24">
        <v>1000</v>
      </c>
    </row>
    <row r="6" spans="2:7" x14ac:dyDescent="0.2">
      <c r="B6" s="24" t="s">
        <v>57</v>
      </c>
      <c r="C6" s="24">
        <v>5</v>
      </c>
    </row>
    <row r="8" spans="2:7" ht="12" x14ac:dyDescent="0.25">
      <c r="B8" s="26" t="s">
        <v>4246</v>
      </c>
      <c r="C8" s="27">
        <f>C5*(1+C4)^C6</f>
        <v>1610.5100000000004</v>
      </c>
    </row>
    <row r="10" spans="2:7" x14ac:dyDescent="0.2">
      <c r="C10" s="17"/>
      <c r="D10" s="12"/>
      <c r="E10" s="12"/>
      <c r="F10" s="12"/>
      <c r="G10" s="12"/>
    </row>
    <row r="11" spans="2:7" x14ac:dyDescent="0.2">
      <c r="D11" s="17"/>
      <c r="E11" s="17"/>
      <c r="F11" s="17"/>
      <c r="G11" s="17"/>
    </row>
    <row r="12" spans="2:7" x14ac:dyDescent="0.2">
      <c r="C12" s="40">
        <f>C8</f>
        <v>1610.5100000000004</v>
      </c>
      <c r="D12" s="39">
        <v>0.1</v>
      </c>
      <c r="E12" s="39">
        <v>0.11</v>
      </c>
      <c r="F12" s="39">
        <v>0.12</v>
      </c>
      <c r="G12" s="39">
        <v>0.13</v>
      </c>
    </row>
    <row r="13" spans="2:7" x14ac:dyDescent="0.2">
      <c r="C13" s="24">
        <v>2</v>
      </c>
      <c r="D13" s="40">
        <f t="dataTable" ref="D13:G16" dt2D="1" dtr="1" r1="C4" r2="C6"/>
        <v>1210.0000000000002</v>
      </c>
      <c r="E13" s="40">
        <v>1232.1000000000001</v>
      </c>
      <c r="F13" s="40">
        <v>1254.4000000000001</v>
      </c>
      <c r="G13" s="40">
        <v>1276.8999999999996</v>
      </c>
    </row>
    <row r="14" spans="2:7" x14ac:dyDescent="0.2">
      <c r="C14" s="24">
        <v>3</v>
      </c>
      <c r="D14" s="40">
        <v>1331.0000000000005</v>
      </c>
      <c r="E14" s="40">
        <v>1367.6310000000003</v>
      </c>
      <c r="F14" s="40">
        <v>1404.9280000000003</v>
      </c>
      <c r="G14" s="40">
        <v>1442.8969999999995</v>
      </c>
    </row>
    <row r="15" spans="2:7" x14ac:dyDescent="0.2">
      <c r="C15" s="24">
        <v>4</v>
      </c>
      <c r="D15" s="40">
        <v>1464.1000000000004</v>
      </c>
      <c r="E15" s="40">
        <v>1518.0704100000005</v>
      </c>
      <c r="F15" s="40">
        <v>1573.5193600000005</v>
      </c>
      <c r="G15" s="40">
        <v>1630.4736099999993</v>
      </c>
    </row>
    <row r="16" spans="2:7" x14ac:dyDescent="0.2">
      <c r="C16" s="24">
        <v>5</v>
      </c>
      <c r="D16" s="40">
        <v>1610.5100000000004</v>
      </c>
      <c r="E16" s="40">
        <v>1685.0581551000005</v>
      </c>
      <c r="F16" s="40">
        <v>1762.3416832000005</v>
      </c>
      <c r="G16" s="40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4" t="str">
        <f>LEFT(B4,3)</f>
        <v>Dop</v>
      </c>
    </row>
    <row r="5" spans="2:5" x14ac:dyDescent="0.2">
      <c r="B5" s="2" t="s">
        <v>58</v>
      </c>
      <c r="E5" s="24" t="str">
        <f>RIGHT(B5,3)</f>
        <v>bbe</v>
      </c>
    </row>
    <row r="6" spans="2:5" x14ac:dyDescent="0.2">
      <c r="B6" s="2" t="s">
        <v>58</v>
      </c>
      <c r="E6" s="24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4" t="str">
        <f>UPPER(B3)</f>
        <v>DOPPELKUPPLUNGSGETRIEBBE</v>
      </c>
      <c r="F3" s="24"/>
      <c r="G3" s="24"/>
    </row>
    <row r="4" spans="2:7" x14ac:dyDescent="0.2">
      <c r="B4" s="2" t="s">
        <v>61</v>
      </c>
      <c r="E4" s="24" t="str">
        <f>LOWER(B4)</f>
        <v>doppelkupplungsgetriebbe</v>
      </c>
      <c r="F4" s="24"/>
      <c r="G4" s="24"/>
    </row>
    <row r="5" spans="2:7" x14ac:dyDescent="0.2">
      <c r="B5" s="2" t="s">
        <v>61</v>
      </c>
      <c r="E5" s="24" t="str">
        <f>PROPER(B5)</f>
        <v>Doppelkupplungsgetriebbe</v>
      </c>
      <c r="F5" s="24"/>
      <c r="G5" s="2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4" t="str">
        <f>B4&amp;" "&amp;C4&amp;D4</f>
        <v>ABC 123CDE</v>
      </c>
      <c r="D6" s="24"/>
    </row>
    <row r="7" spans="2:4" x14ac:dyDescent="0.2">
      <c r="C7" s="24" t="str">
        <f>CONCATENATE(B4,C4,D4)</f>
        <v>ABC123CDE</v>
      </c>
      <c r="D7" s="24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5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5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5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5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5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5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5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5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5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5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5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5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5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5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5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5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5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5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5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5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5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5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5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5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5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5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5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5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5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5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5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5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5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5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5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5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5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5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5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5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5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5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5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5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5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5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5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5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5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5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5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5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5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5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5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5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5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5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5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5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5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5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5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5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5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5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5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5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5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5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5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5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5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5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5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5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5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5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5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5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5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5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5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5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5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5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5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5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5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5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5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5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5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5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5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5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5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5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5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5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5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5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5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5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5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5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5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5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5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5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5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5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5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5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5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5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5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5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5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5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5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5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5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5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5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5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5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5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5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5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5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5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5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5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5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5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5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5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5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5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5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5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5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5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5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5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5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5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5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5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5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5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5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5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5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5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5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5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5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5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5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5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5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5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5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5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5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5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5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5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5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5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5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5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5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5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5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5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5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5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5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5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5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5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5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5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5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5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5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5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5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5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5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5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5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5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5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5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5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5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5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5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5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5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5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5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5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5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5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5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5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5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5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5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5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5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5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5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5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5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5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5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5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5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5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5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5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5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5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5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5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5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5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5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5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5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5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5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5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5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5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5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5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5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5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5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5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5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5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5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5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5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5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5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5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5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5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5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5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5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5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5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5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5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5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5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5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5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5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5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5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5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5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5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5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5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5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5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5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5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5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5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5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5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5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5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5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5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5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5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5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5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5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5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5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5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5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5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5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5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5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5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5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5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5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5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5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5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5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5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5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5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5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5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5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5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5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5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5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5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5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5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5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5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5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5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5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5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5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5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5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5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5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5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5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5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5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5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5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5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5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5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5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5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5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5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5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5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5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5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5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5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5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5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5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5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5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5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5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5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5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5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5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5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5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5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5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5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5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5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5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5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5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5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5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5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5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5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5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5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5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5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5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5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5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5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5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5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5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5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5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5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5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5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5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5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5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5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5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5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5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5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5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5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5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5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5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5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5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5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5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5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5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5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5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5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5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5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5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5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5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5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5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5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5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5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5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5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5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5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5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5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5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5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5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5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5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5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5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5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5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5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5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5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5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5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5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5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5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5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5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5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5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5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5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5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5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5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5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5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5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5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5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5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5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5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5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5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5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5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5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5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5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5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5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5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5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5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5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5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5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5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5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5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5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5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5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5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5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5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5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5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5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5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5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5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5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5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5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5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5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5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5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5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5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5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5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5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5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5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5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5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5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5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5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5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5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5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5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5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5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5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5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5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5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5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5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5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5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5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5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5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5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5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5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5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5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5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5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5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5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5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5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5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5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5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5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5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5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5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5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5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5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5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5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5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5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5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5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5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5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5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5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5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5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5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5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5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5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5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5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5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5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5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5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5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5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5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5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5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5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5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5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5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5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5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5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5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5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5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5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5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5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5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5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5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5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5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5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5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5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5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5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5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5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5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5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5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5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5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5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5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5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5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5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5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5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5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5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5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5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5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5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5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5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5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5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5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5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5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5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5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5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5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5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5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5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5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5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5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5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5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5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5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5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5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5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5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5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5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5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5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5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5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5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5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5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5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5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5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5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5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5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5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5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5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5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5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5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5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5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5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5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5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5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5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5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5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5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5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5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5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5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5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5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5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5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5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5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5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5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5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5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5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5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5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5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5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5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5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5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5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5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5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5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5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5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5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5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5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5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5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5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5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5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5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5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5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5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5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5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5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5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5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5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5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5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5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5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5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5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5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5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5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5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5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5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5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5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5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5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5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5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5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5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5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5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5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5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5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5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5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5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5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5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5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5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5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5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5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5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5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5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5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5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5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5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5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5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5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5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5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5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5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5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5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5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5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5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5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5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5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5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5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5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5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5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5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5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5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5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5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5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5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5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5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5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5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5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5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5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5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5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5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5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5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5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5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5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5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5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5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5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5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5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5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5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5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5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5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5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5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5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5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5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5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5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5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5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5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5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5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5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5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5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5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5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5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5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5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5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5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5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5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5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5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5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5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5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5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5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5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5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5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5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5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5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5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5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5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5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5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5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5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5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5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5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5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5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5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5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5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5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5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5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5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5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5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5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5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5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5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5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5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5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5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5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5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5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5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5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5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5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5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5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5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5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5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5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5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5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5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5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5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5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5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5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5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5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5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5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5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5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5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5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5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5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5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5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5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5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5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5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5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5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5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5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5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5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5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5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5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5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5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5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5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5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5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5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5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5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5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5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5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5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5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5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5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5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5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5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5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5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5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5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5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5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5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5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5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5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5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5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5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5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5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5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5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5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5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5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5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5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5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5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5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5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5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5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5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5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5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5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5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5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5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5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5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5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5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5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5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5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5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5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5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5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5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5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5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5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5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5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5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5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5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5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5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5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5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5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5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5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5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5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5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5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5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5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5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5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5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5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5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5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5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5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5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5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5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5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5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5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5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5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5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5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5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5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5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5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5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5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5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5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5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5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5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5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5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5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5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5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5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5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5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5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5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5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5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5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5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5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5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5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5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5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5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5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5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5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5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5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5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5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5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5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5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5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5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5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5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5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5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5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5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5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5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5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5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5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5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5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5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5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5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5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5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5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5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5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5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5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5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5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5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5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5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5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5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5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5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5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5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5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5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5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5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5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5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5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5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5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5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5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5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5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5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5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5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5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5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5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5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5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5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5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5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5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5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5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5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5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5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5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5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5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5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5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5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5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5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5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5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5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5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5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5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5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5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5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5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5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5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5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5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5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5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5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5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5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5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5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5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5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5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5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5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5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5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5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5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5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5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5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5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5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5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5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5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5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5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5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5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5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5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5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5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5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5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5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5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5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5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5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5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5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5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5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5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5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5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5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5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5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5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5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5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5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5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5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5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5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5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5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5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5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5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5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5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5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5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5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5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5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5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5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5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5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5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5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5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5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5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5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5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5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5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5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5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5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5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5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5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5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5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5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5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5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5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5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5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5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5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5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5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5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5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5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5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5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5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5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5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5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5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5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5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5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5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5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5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5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5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5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5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5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5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5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5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5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5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5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5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5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5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5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5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5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5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5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5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5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5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5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5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5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5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5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5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5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5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5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5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5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5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5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5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5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5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5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5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5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5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5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5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5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5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5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5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5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5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5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5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5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5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5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5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5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5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5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5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5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5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5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5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5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5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5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5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5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5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5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5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5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5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5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5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5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5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5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5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5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5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5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5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5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5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5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5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5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5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5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5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5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5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5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5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5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5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5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5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5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5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5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5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5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5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5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5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5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5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5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5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5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5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5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5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5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5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5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5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5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5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5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5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5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5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5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5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5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5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5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5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5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5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5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5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5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5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5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5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5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5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5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5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5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5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5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5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5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5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5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5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5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5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5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5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5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5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5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5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5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5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5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5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5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5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5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5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5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5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5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5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5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5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5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5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5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5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5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5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5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5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5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5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5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5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5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5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5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5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5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5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5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5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5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5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5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5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5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5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5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5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5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5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5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5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5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5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5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5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5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5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5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5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5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5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5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5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5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5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5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5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5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5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5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5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5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5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5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5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5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5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5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5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5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5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5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5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5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5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5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5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5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5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5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5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5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5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5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5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5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5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5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5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5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5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5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5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5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5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5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5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5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5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5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5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5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5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5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5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5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5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5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5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5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5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5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5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5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5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5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5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5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5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5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5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5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5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5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5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5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5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5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5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5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5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5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5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5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5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5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5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5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5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5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5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5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5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5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5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5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5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5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5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5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5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5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5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5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5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5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5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5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5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5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5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5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5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5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5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5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5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5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5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5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5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5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5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5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5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5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5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5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5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5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5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5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5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5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5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5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5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5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5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5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5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5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5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5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5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5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5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5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5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5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5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5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5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5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5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5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5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5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5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5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5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5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5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5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5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5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5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5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5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5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5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5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5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5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5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5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5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5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5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5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5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5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5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5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5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5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5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5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5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5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5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5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5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5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5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5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5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5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5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5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5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5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5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5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5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5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5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5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5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5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5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5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5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5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5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5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5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5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5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5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5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5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5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5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5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5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5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5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5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5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5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5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5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5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5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5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5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5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5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5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5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5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5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5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5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5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5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5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5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5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5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5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5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5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5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5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5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5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5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5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5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5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5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5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5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5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5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5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5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5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5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5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5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5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5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5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5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5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5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5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5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5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5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5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5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5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5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5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5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5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5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5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5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5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5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5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5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5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5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5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5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5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5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5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5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5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5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5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5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5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5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5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5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5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5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5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5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5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5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5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5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5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5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5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5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5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5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5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5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5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5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5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5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5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5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5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5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5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5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5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5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5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5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5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5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5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5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5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5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5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5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5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5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5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5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5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5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5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5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5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5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5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5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5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5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5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5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5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5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5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5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5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5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5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5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5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5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5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5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5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5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5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5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5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5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5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5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5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5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5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5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5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5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5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5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5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5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5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5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5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5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5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5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5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5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5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5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5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5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5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5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5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5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5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5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5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5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5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5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5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5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5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5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5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5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5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5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5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5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5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5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5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5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5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5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5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5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5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5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5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5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5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5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5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5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5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5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5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5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5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5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5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5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5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5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5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5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5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5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5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5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5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5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5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5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5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5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5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5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5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5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5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5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5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5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5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5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5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5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5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5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5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5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5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5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5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5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5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5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5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5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5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5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5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5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5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5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5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5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5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5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5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5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5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5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5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5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5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5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5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5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5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5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5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5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5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5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5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5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5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5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5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5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5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5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5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5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5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5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5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5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5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5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5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5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5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5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5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5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5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5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5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5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5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5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5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5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5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5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5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5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5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5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5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5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5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5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5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5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5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5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5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5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5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5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5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5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5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5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5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5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5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5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5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5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5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5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5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5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5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5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5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5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5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5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5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5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5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5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5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5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5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5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5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5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5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5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5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5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5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5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5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5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5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5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5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5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5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5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5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5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5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5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5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5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5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5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5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5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5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5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5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5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5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5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5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5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5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5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5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5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5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5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5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5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5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5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5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5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5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5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5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5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5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5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5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5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5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5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5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5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5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5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5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5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5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5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5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5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5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5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5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5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5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5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5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5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5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5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5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5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5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5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5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5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5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5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5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5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5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5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5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5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5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5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5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5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5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5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5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5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5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5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5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5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5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5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5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5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5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5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5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5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5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5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5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5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5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5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5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5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5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5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5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5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5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5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5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5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5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5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5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5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5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5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5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5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5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5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5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5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5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5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5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5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5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5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5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5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5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5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5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5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5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5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5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5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5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5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5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5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5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5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5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5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5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5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5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5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5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5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5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5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5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5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5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5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5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5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5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5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5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5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5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5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5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5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5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5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5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5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5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5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5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5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5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5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5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5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5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5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5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5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5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5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5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5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5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5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5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5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5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5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5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5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5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5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5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5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5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5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5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5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5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5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5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5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5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5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5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5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5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5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5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5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5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5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5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5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5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5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5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5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5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5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5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5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5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5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5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5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5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5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5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5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5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5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5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5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5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5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5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5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5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5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5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5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5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5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5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5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5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5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5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5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5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5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5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5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5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5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5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5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5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5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5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5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5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5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5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5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5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5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5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5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5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5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5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5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5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5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5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5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5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5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5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5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5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5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5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5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5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5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5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5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5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5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5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5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5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5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5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5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5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5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5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5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5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5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5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5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5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5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5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5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5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5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5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5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5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5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5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5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5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5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5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5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5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5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5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5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5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5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5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5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5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5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5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5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5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5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5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5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5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5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5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5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5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5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5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5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5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5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5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5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5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5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5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5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5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5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5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5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5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5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5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5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5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5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5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5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5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5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5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5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5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5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5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5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5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5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5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5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5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5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5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5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5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5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5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5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5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5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5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5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5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5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5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5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5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5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5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5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5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5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5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5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5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5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5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5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5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5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5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5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5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5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5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5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5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5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5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5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5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5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5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5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5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5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5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5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5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5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5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5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5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5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5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5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5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5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5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5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5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5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5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5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5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5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5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5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5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5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5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5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5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5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5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5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5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5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5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5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5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5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5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5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5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5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5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5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5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5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5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5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5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5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5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5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5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5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5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5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5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5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5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5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5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5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5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5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5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5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5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5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5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5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5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5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5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5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5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5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5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5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5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5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5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5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5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5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5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5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5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5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5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5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5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5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5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5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5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5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5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5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5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5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5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5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5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5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5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5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5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5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5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5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5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5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5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5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5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5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5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5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5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5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5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5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5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5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5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5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5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5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5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5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5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5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5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5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5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5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5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5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5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5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5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5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5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5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5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5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5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5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5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5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5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5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5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5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5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5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5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5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5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5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5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5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5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5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5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5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5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5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5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5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5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5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5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5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5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5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5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5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5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5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5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5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5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5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5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5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5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5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5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5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5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5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5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5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5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5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5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5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5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5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5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5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5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5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5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5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5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5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5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5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5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5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5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5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5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5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5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5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5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5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5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5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5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5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5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5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5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5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5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5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5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5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5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5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5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5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5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5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5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5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5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5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5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5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5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5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5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5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5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5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5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5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5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5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5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5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5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5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5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5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5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5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5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5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5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5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5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5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5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5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5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5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5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5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5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5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5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5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5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5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5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5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5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5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5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5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5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5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5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5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5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5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5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5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5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5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5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5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5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5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5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5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5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5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5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5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5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5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5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5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5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5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5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5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5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5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5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5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5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5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5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5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5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5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5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5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5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5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5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5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5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5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5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5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5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5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5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5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5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5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5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5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5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5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5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5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5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5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5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5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5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5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5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5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5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5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5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5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5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5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5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5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5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5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5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5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5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5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5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5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5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5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5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5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5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5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5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5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5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5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5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5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5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5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5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5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5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5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5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5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5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5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5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5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5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5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5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5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5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5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5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5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5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5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5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5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5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5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5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5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5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5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5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5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5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5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5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5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5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5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5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5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5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5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5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5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5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5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5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5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5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5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5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5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5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5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5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5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5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5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5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5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5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5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5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5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5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5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5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5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5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5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5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5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5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5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5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5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5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5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5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5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5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5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5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5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5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5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5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5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5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5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5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5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5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5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5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5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5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5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5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5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5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5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5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5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5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5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5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5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5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5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5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5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5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5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5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5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5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5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5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5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5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5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5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5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5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5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5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5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5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5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5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5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5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5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5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5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5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5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5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5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5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5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5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5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5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5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5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5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5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5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5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5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5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5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5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5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5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5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5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5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5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5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5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5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5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5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5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5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5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5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5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5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5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5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5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5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5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5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5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5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5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5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5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5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5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5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5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5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5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5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5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5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5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5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5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5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5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5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5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5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5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5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5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5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5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5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5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5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5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5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5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5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5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5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5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5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5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5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5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5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5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5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5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5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5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5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5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5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5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5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5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5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5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5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5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5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5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5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5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5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5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5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5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5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5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5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5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5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5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5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5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5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5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5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5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5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5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5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5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5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5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5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5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5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5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5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5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5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5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5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5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5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5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5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5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5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5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5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5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5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5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5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5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5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5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5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5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5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5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5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5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5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5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5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5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5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5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5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5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5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5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5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5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5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5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5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5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5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5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5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5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5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5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5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5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5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5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5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5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5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5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5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5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5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5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5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5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5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5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5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5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5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5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5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5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5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5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5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5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5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5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5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5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5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5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5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5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5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5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5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5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5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5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5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5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5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5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5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5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5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5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5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5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5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5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5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5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5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5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5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5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5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5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5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5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5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5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5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5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5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5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5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5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5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5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5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5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5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5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5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5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5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5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5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5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5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5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5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5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5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5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5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5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5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5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5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5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5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5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5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5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5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5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5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5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5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5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5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5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5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5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5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5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5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5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5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5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5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5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5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5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5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5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5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5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5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5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5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5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5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5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5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5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5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5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5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5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5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5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5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5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5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5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5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5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5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5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5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5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5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5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5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5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5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5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5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5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5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5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5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5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5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5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5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5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5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5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5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5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5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5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5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5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5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5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5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5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5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5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5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5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5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5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5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5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5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5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5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5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5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5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5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5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5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5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5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5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5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5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5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5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5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5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5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5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5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5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5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5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5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5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5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5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5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5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5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5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5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5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5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5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5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5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5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5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5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5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5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5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5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5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5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5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5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5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5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5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5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5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5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5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5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5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5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5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5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5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5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5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5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5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5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5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5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5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5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5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5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5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5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5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5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5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5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5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5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5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5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5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5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5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5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5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5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5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5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5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5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5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5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5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5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5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5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5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5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5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5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5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5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5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5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5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5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5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5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5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5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5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5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5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5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5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5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5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5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5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5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5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5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5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5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5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5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5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5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5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5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5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5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5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5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5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5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5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5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5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5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5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5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5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5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5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5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5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5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5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5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5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5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5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5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5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5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5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5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5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5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5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5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5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5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5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5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5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5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5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5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5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5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5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5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5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5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5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5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5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5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5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5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5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5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5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5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5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5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5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5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5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5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5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5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5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5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5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5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5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5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5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5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5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5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5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5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5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5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5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5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5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5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5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5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5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5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5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5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5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5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5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5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5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5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5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5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5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5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5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5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5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5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5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5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5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5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5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5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5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5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5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5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5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5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5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5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5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5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5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5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5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5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5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5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5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5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5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5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5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5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5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5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5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5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5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5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5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5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5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5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5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5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5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5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5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5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5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5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5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5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5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5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5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5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5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5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5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5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5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5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5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5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5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5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5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5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5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5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5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5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5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5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5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5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5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5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5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5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5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5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5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5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5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5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5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5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5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5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5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5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5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5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5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5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5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5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5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5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5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5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5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5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5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5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5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5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5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5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5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5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5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5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5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5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5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5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5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5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5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5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5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5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5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5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5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5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5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5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5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5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5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5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5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5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5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5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5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5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5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5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5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5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5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5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5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5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5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5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5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5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5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5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5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5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5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5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5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5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5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5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5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5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5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5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5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5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5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5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5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5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5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5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5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5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5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5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5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5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5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5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5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5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5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5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5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5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5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5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5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5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5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5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5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5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5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5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5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5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5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5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5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5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5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5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5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5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5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5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5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5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5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5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5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5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5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5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5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5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5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5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5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5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5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5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5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5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5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5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5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5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5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5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5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5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5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5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5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5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5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5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5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5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5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5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5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5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5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5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5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5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5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5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5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5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5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5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5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5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5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5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5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5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5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5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5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5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5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5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5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5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5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5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5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5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5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5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5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5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5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5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5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5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5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5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5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5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5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5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5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5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5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5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5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5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5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5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5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5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5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5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5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5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5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5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5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5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5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5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5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5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5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5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5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5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5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5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5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5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5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5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5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5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5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5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5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5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5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5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5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5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5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5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5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5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5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5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5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5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5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5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5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5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5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5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5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5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5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5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5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5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5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5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5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5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5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5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5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5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5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5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5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5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5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5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5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5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5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5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5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5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5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5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5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5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5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5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5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5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5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5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5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5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5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5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5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5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5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5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5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5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5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5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5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5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5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5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5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5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5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5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5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5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5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5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5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5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5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5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5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5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5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5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5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5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5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5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5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5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5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5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5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5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5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5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5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5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5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5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5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5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5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5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5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5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5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5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5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5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5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5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5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5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5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5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5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5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5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5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5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5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5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5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5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5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5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5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5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5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5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5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5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5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5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5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5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5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5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5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5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5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5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5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5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5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5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5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5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5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5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5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5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5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5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5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5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5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5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5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5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5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5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5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5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5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5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5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5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5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5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5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5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5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5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5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5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5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5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5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5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5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5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5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5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5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5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5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5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5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5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5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5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5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5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5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5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5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5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5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5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5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5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5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5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5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5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5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5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5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5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5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5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5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5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5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5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5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5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5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5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5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5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5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5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5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5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5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5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5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5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5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5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5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5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5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5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5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5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5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5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5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5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5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5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5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5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5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5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5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5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5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5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5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5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5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5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5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5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5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5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5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5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5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5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5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5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5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5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5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5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5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5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5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5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5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5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5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5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5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5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5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5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5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5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5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5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5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5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5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5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5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5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5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5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5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5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5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5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5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5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5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5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5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5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5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5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5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5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5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5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5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5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5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5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5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5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5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5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5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5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5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5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5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5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5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5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5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5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5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5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5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5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5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5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5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5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5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5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5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5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5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5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5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5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5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5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5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5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5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5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5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5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5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5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5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5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5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5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5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5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5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5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5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5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5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5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5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5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5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5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5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5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5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5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5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5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5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5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5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5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5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5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5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5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5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5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5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5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5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5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5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5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5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5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5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5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5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5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5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5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5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5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5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5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5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5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5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5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5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5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5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5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5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5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5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5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5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5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5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5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5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5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5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5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5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5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5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5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5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5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5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5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5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5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5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5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5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5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5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5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5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5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5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5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5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5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5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5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5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5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5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5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5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5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5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5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5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5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5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5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5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5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5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5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5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5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5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5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5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5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5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5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5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5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5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5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5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5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5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5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5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5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5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5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5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5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5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5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5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5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5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5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5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5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5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5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5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5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5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5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5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5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5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5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5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5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5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5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5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5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5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5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5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5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5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5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5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5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5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5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5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5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5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5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5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5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5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5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5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5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5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5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5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5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5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5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5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5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5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5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5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5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5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5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5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5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5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5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5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5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5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5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5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5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5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5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5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5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5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5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5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5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5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5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5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5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5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5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5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5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5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5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5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5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5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5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5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5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5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5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5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5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5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5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5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5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5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5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5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5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5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5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5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5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5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5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5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5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5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5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5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5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5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5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5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5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5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5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5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5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5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5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5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5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5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5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5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5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5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5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5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5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5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5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5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5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5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5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5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5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5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5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5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5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5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5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5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5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5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5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5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5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5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5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5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5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5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5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5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5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5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5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5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5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5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5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5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5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5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5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5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5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5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5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5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5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5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5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5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5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5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5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5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5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5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5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5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5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5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5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5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5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5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5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5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5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5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5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5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5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5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5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5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5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5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5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5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5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5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5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5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5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5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5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5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5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5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5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5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5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5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5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5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5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5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5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5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5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5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5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5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5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5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5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5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5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5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5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5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5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5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5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5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5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5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5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5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5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5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5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5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5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5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5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5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5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5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5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5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5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5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5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5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5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5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5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5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5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5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5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5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5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5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5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5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5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5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5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5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5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5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5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5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5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5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5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5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5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5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5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5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5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5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5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5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5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5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5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5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5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5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5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5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5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5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5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5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5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5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5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5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5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5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5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5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5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5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5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5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5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5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5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5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5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5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5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5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5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5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5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5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5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5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5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5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5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5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5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5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5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5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5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5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5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5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5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5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5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5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5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5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5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5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5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5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5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5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5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5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5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5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5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5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5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5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5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5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5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5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5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5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5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5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5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5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5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5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5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5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5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5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5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5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5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5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5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5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5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5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5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5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5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5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5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5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5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5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5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5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5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5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5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5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5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5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5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5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5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5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5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5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5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5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5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5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5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5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5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5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5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5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5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5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5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5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5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5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5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5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5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5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5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5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5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5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5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5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5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5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5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5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5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5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5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5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5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5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5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5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5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5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5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5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5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5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5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5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5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5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5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5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5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5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5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5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5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5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5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5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5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5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5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5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5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5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5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5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5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5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5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5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5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5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5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5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5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5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5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5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5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5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5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5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5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5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5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5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5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5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5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5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5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5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5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5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5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5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5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5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5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5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5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5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5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5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5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5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5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5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5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5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5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5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5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5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5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5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5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5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5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5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5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5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5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5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5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5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5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5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5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5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5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5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5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5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5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5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5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5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5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5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5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5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5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5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5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5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5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5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5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5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5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5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5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5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5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5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5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5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5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5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5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5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5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5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5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5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5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5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5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5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5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5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5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5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5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5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5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5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5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5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5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5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5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5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5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5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5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5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5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5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5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5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5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5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5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5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5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5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5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5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5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5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5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5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5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5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5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5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5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5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5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5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5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5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5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5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5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5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5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5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5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5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5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5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5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5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5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5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5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5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5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5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5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5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5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5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5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5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5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5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5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5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5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5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5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5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5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5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5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5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5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5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5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5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5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5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5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5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5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5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5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5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5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5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5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5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5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5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5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5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5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5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5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5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5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5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5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5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5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5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5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5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5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5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5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5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5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5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5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5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5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5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5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5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5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5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5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5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5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5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5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5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5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5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5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5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5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5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5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5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5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5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5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5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5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5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5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5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5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5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5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5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5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5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5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5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5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5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5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5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5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5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5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5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5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5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5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5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5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5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5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5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5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5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5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5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5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5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5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5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5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5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5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5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5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5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5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5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5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5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5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5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5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5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5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5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5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5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5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5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5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5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5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5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5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5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5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5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5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5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5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5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5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5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5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5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5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5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5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5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5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5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5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5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5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5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5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5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5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5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5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5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5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5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5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5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5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5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5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5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5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5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5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5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5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5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5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5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5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5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5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5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5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5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5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5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5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5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5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5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5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5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5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5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5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5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5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5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5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5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5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5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5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5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5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5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5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5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5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5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5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5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5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5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5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5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5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5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5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5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5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5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5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5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5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5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5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5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5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5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5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5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5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5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5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5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5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5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5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5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5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5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5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5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5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5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5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5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5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5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5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5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5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5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5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5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5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5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5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5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5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5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5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5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5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5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5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5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5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5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5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5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5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5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5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5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5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5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5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5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5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5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5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5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5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5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5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5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5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5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5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5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5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5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5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5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5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5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5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5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5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5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5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5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5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5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5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5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5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5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5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5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5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5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5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5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5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5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5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5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5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5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5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5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5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5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5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5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5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5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5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5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5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5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5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5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5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5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5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5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5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5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5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5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5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5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5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5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5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5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5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5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5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5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5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5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5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5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5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5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5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5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5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5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5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5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5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5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5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5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5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5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5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5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5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5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5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5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5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5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5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5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5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5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5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5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5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5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5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5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5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5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5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5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5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5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5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5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5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5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5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5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5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5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5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5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5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5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5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5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5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5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5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5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5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5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5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5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5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5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5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5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5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5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5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5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5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5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5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5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5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5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5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5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5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5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5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5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5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5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5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5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5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5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5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5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5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5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5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5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5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5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5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5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5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5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5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5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5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5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5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5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5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5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5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5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5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5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5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5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5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5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5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5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5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5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5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5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5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5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5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5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5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5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5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5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5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5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5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5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5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5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5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5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5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5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5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5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5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5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5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5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5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5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5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5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5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5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5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5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5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5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5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5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5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5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5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5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5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5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5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5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5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5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5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5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5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5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5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5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5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5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5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5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5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5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5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5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5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5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5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5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5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5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5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5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5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5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5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5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5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5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5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5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5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5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5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5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5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5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5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5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5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5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5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5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5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5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5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5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5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5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5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5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5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5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5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5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5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5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5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5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5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5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5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5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5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5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5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5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5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5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5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5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5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5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5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5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5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5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5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5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5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5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5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5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5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5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5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5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5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5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5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5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5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5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5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5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5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5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5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5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5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5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5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5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5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5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5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5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5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5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5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5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5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5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5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5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5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5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5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5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5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5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5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5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5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5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5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5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5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5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5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5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5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5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5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5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5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5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5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5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5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5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5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5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5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5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5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5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5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5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5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5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5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5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5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5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5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5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5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5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5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5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5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5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5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5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5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5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5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5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5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5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5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5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5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5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5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5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5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5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5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5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5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5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5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5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5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5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5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5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5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5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5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5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5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5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5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5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5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5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5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5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5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5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5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5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5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5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5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5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5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5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5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5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5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5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5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5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5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5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5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5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5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5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5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5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5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5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5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5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5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5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5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5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5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5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5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5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5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5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5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5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5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5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5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5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5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5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5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5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5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5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5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5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5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5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5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5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5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5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5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5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5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5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5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5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5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5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5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5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5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5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5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5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5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5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5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5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5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5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5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5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5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5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5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5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5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5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5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5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5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5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5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5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5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5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5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5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5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5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5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5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5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5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5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5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5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5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5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5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5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5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5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5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5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5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5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5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5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5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5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5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5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5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5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5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5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5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5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5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5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5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5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5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5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5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5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5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5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5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5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5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5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5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5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5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5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5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5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5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5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5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5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5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5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5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5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5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5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5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5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5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5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5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5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5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5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5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5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5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5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5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5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5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5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5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5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5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5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5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5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5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5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5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5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5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5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5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5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5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5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5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5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5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5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5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5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5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5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5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5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5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5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5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5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5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5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5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5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5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5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5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5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5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5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5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5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5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5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5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5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5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5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5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5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5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5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5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5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5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5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5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5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5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5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5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5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5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5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5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5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5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5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5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5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5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5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5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5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5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5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5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5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5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5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5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5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5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5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5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5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5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5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5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5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5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5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5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5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5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5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5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5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5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5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5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5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5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5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5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5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5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5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5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5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5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5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5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5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5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5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5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5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5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5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5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5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5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5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5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5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5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5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5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5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5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5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5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5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5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5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5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5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5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5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5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5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5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5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5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5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5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5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5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5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5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5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5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5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5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5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5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5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5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5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5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5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5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5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5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5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5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5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5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5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5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5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5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5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5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5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5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5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5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5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5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5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5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5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5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5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5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5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5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5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5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5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5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5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5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5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5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5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5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5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5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5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5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5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5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5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5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5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5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5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5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5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5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5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5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5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5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5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5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5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5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5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5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5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5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5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5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5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5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5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5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5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5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5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5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5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5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5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5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5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5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5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5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5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5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5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5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5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5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5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5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5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5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5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5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5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5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5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5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5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5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5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5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5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5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5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5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5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5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5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5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5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5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5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5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5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5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5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5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5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5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5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5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5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5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5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5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5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5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5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5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5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5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5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5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5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5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5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5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5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5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5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5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5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5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5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5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5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5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5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5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5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5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5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5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5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5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5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5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5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5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5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5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5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5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5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5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5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5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5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5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5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5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5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5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5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5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5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5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5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5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5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5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5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5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5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5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5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5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5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5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5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5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5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5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5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5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5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5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5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5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5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5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5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5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5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5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5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5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5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5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5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5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5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5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5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5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5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5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5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5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5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5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5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5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5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5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5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5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5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5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5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5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5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5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5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5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5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5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5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5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5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5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5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5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5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5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5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5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5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5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5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5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5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5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5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5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5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5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5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5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5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5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5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5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5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5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5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5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5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5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5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5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5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5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5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5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5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5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5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5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5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5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5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5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5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5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5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5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5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5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5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5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5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5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5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5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5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5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5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5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5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5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5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5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5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5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5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5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5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5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5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5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5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5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5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5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5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5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5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5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5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5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5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5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5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5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5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5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5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5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5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5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5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5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5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5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5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5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5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5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5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5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5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5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5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5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5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5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5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5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5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5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5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5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5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5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5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5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5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5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5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5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5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5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5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5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5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5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5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5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5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5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5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5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5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5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5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5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5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5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5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5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5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5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5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5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5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5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5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5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5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5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5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5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5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5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5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5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5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5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5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5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5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5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5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5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5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5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5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5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5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5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5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5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5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5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5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5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5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5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5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5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5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5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5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5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5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5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5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5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5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5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5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5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5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5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5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5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5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5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5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5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5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5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5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5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5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5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5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5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5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5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5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5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5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5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5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5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5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5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5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5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5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5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5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5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5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5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5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5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5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5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5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5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5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5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5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5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5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5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5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5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5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5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5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5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5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5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5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5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5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5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5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5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5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5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5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5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5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5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5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5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5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5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5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5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5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5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5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5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5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5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5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5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5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5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5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5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5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5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5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5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5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5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5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5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5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5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5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5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5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5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5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5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5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5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5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5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5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5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5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5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5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5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5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5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5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5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5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5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5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5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5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5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5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5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5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5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5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5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5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5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5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5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5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5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5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5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5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5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5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5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5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5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5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5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5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5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5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5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5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5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5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5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5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5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5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5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5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5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5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5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5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5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5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5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5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5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5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5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5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5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5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5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5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5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5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5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5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5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5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5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5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5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5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5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5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5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5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5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5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5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5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5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5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5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5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5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5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5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5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5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5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5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5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5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5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5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5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5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5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5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5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5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5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5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5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5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5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5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5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5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5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5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5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5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5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5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5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5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5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5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5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5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5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5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5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5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5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5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5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5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5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5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5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5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5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5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5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5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5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5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5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5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5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5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5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5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5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5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5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5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5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5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5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5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5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5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5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5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5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5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5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5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5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5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5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5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5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5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5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5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5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5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5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5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5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5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5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5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5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5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5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5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5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5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5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5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5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5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5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5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5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5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5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5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5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5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5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5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5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5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5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5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5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5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5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5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5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5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5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5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5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5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5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5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5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5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5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5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5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5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5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5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5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5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5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5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5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5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5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5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5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5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5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5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5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5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5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5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5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5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5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5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5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5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5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5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5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5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5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5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5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5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5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5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5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5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5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5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5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5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5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5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5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5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5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5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5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5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5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5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5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5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5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5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5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5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5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5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5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5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5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5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5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5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5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5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5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5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5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5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5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5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5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5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5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5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5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5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5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5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5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5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5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5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5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5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5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5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5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5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5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5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5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5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5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5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5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5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5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5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5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5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5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5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5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5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5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5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5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5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5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5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5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5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5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5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5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5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5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5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5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5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5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5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5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5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5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5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5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5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5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5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5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5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5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5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5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5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5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5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5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5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5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5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5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5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5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5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5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5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5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5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5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5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5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5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5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5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5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5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5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5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5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5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5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5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5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5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5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5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5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5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5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5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5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5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5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5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5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5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5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5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5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5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5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5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5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5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5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5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5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5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5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5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5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5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5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5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5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5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5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5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5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5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5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5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5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5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5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5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5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5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5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5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5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5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5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5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5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5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5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5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5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5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5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5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5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5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5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5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5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5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5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5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5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5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5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5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5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5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5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5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2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2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2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2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2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2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2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2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2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2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2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2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2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2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2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2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2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2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2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2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2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2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2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2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2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2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2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2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2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2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2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2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2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2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2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2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2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2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2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2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2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2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2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2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2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2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2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2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2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2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2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2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2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2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2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2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2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2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2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2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2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2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2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2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2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2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2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2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2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2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2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2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2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2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2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2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2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2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2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2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2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2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2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2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2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2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2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2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2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2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2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2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2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2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2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2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2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2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2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2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2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2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2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2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2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2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2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2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2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2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2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2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2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2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2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2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2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2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2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2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2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2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2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2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2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2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2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2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2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2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2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2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2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2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2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2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2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2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2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2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2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2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2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2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2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2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2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2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2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2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2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2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2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2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2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2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2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2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2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2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2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2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2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2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2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2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2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2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2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2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2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2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2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2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2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2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2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2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2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2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2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2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2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2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2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2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2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2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2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2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2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2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2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2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2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2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2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2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2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2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2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2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2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2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2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2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2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2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2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2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2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2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2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2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2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2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2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2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2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2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2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2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2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2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2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2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2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2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2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2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2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2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2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2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2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2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2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2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2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2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2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2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2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2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2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2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2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2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2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2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2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2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2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2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2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2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2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2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2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2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2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2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2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2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2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2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2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2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2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2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2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2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2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2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2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2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2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2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2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2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2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2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2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2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2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2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2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2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2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2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2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2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2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2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2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2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2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2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2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2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2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2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2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2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2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2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2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2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2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2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2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2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2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2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2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2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2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2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2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2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2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2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2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2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2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2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2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2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2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2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2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2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2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2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2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2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2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2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2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2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2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2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2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2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2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2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2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2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2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2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2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2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2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2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2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2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2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2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2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2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2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2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2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2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2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2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2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2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2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2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2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2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2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2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2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2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2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2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2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2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2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2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2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2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2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2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2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2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2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2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2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2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2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2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2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2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2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2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2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2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2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2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2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2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2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2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2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2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2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2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2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2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2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2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2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2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2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2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2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2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2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2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2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2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2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2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2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2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2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2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2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2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2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2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2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2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2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2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2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2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2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2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2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2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2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2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2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2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2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2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2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2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2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2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2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2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2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2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2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2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2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2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2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2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2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2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2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2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2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2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2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2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2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2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2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2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2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2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2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2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2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2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2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2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2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2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2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2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2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2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2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2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2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2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2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2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2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2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2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2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2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2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2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2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2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2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2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2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2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2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2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2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2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2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2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2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2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2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2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2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2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2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2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2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2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2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2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2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2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2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2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2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2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2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2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2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2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2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2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2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2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2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2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2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2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2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2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2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2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2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2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2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2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2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2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2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2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2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2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2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2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2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2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2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2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2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2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2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2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2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2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2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2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2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2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2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2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2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2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2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2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2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2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2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2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2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2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2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2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2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2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2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2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2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2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2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2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2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2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2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2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2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2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2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2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2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2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2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2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2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2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2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2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2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2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2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2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2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2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2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2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2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2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2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2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2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2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2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2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2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2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2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2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2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2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2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2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2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2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2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2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2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2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2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2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2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2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2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2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2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2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2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2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2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2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2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2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2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2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2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2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2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2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2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2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2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2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2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2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2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2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2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2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2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2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2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2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2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2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2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2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2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2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2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2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2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2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2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2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2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2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2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2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2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2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2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2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2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2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2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2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2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2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2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2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2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2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2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2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2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2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2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2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2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2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2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2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2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2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2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2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2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2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2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2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2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2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2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2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2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2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2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2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2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2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2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2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2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2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2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2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2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2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2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2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2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2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2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2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2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2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2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2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2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2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2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2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2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2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2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2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2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2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2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2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2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2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2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2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2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2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2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2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2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2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2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2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2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2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2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2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2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2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2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2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2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2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2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2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2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2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2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2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2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2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2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2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2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2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2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2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2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2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2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2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2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2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2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2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2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2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2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2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2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2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2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2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2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2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2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2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2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2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2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2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2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2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2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2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2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2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2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2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2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2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2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2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2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2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2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2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2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2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2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2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2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2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2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2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2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2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2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2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2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2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2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2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2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2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2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2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2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2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2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2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2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2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2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2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2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2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2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2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2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2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2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2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2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2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2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2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2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2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2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2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2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2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2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2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2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2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2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2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2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2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2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2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2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2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2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2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2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2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2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2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2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2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2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2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2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2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2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2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2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2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2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2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2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2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2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2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2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2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2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2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2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2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2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2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2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2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2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2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2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2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2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2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2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2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2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2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2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2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2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2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2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2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2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2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2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2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2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2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2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2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2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2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2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2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2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2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2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2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2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2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2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2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2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2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2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2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2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2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2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2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2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2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2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2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2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2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2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2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2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2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2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2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2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2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2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2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2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2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2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2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2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2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2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2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2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2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2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2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2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2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2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2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2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2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2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2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2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2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2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2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2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2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2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2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2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2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2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2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2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2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2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2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2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2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2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2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2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2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2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2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2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2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2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2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2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2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2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2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2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2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2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2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2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2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2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2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2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2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2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2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2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2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2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2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2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2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2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2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2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2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2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2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2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2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2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2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2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2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2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2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2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2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2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2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2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2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2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2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2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2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2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2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2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2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2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2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2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2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2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2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2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2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2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2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2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2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2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2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2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2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2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2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2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2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2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2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2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2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2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2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2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2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2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2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2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2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2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2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2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2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2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2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2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2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2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2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2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2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2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2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2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2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2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2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2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2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2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2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2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2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2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2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2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2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2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2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2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2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2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2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2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2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2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2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2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2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2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2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2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2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2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2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2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2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2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2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2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2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2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2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2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2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2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2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2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2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2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2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2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2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2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2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2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2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2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2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2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2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2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2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2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2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2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2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2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2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2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2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2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2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2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2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2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2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2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2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2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2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2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2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2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2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2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2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2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2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2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2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2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2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2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2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2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2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2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2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2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2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2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2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2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2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2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2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2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2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2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2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2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2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2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2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2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2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2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2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2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2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2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2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2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2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2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2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2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2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2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2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2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2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2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2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2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2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2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2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2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2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2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2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2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2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2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2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2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2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2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2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2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2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2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2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2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2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2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2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2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2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2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2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2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2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2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2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2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2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2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2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2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2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2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2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2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2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2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2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2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2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2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2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2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2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2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2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2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2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2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2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2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2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2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2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2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2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2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2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2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2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2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2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2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2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2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2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2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2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2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2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2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2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2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2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2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2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2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2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2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2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2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2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2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2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2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2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2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2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2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2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2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2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2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2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2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2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2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2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2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2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2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2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2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2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2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2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2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2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2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2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2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2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2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2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2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2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2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2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2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2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2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2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2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2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2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2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2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2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2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2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2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2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2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2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2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2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2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2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2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2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2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2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2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2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2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2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2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2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2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2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2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2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2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2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2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2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2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2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2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2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2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2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2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2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2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2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2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2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2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2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2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2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2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2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2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2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2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2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2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2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2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2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2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2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2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2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2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2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2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2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2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2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2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2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2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2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2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2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2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2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2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2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2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2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2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2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2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2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2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2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2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2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2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2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2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2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2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2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2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2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2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2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2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2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2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2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2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2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2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2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2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2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2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2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2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2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2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2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2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2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2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2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2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2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2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2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2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2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2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2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2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2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2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2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2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2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2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2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2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2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2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2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2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2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2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2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2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2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2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2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2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2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2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2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2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2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2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2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2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2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2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2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2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2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2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2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2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2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2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2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2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2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2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2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2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2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2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2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2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2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2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2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2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2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2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2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2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2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2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2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2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2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2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2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2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2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2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2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2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2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2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2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2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2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2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2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2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2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2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2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2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2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2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2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2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2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2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2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2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2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2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2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2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2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2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2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2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2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2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2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2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2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2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2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2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2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2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2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2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2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2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2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2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2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2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2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2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2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2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2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2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2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2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2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2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2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2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2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2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2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2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2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2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2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2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2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2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2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2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2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2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2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2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2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2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2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2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2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2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2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2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2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2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2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2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2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2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2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2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2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2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2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2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2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2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2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2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2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2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2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2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2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2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2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2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2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2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2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2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2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2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2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2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2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2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2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2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2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2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2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2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2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2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2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2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2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2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2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2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2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2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2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2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2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2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2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2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2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2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2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2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2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2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2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2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2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2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2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2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2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2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2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2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2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2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2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2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2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2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2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2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2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2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2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2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2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2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2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2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2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2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2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2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2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2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2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2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2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2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2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2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2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2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2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2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2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2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2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2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2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2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2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2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2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2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2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2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2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2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2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2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2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2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2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2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2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2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2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2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2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2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2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2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2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2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2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2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2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2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2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2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2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2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2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2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2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2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2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2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2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2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2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2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2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2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2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2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2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2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2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2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2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2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2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2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2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2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2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2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2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2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2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2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2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2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2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2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2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2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2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2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2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2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2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2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2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2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2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2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2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2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2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2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2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2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2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2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2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2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2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2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2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2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2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2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2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2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2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2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2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2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2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2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2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2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2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2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2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2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2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2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2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2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2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2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2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2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2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2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2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2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2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2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2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2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2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2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2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2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2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2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2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2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2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2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2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2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2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2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2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2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2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2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2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2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2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2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2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2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2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2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2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2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2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2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2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2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2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2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2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2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2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2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2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2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2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2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2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2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2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2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2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2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2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2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2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2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2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2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2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2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2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2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2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2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2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2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2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2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2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2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2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2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2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2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2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2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2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2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2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2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2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2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2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2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2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2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2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2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2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2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2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2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2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2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2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2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2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2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2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2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2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2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2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2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2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2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2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2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2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2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2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2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2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2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2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2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2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2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2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2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2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2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2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2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2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2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2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2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2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2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2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2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2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2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2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2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2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2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2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2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2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2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2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2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2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2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2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2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2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2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2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2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2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2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2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2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2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2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2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2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2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2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2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2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2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2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2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2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2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2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2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2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2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2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2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2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2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2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2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2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2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2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2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2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2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2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2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2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2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2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2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2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2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2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2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2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2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2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2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2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2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2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2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2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2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2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2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2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2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2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2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2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2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2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2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2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2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2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2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2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2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2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2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2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2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2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2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2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2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2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2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2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2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2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2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2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2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2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2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2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2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2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2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2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2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2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2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2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2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2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2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2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2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2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2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2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2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2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2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2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2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2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2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2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2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2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2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2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2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2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2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2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2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2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2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2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2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2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2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2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2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2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2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2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2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2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2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2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2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2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2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2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2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2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2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2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2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2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2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2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2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2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2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2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2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2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2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2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2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2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2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2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2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2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2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2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2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2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2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2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2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2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2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2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2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2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2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2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2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2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2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2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2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2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2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2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2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2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2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2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2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2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2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2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2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2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2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2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2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2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2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2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2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2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2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2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2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2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2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2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2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2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2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2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2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2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2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2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2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2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2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2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2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2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2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2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2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2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2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2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2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2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2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2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2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2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2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2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2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2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2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2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2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2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2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2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2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2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2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2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2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2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2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2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2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2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2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2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2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2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2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2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2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2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2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2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2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2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2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2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2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2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2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2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2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2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2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2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2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2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2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2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2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2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2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2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2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2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2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2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2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2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2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2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2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2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2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2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2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2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2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2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2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2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2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2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2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2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2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2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2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2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2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2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2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2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2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2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2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2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2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2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2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2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2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2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2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2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2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2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2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2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2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2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2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2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2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2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2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2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2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2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2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2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2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2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2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2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2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2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2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2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2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2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2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2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2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2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2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2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2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2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2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2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2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2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2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2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2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2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2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2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2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2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2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2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2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2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2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2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2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2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2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2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2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2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2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2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2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2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2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2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2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2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2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2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2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2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2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2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2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2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2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2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2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2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2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2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2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2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2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2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2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2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2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2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2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2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2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2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2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2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2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2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2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2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2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2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2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2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2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2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2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2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2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2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2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2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2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2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2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2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2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2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2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2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2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2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2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2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2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2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2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2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2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2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2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2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2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2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2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2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2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2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2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2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2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2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2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2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2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2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2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2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2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2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2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2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2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2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2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2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2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2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2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2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2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2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2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2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2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2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2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2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2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2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2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2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2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2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2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2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2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2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2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2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2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2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2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2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2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2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2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2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2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2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2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2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2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2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2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2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2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2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2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2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2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2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2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2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2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2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2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2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2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2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2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2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2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2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2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2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2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2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2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2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2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2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2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2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2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2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2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2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2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2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2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2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2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2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2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2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2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2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2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2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2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2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2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2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2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2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2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2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2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2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2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2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2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2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2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2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2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2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2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2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2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2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2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2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2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2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2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2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2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2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2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2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2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2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2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2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2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2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2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2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2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2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2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2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2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2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2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2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2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2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2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2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2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2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2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2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2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2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2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2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2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2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2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2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2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2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2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2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2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2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2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2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2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2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2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2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2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2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2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2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2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2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2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2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2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2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2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2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2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2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2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2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2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2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2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2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2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2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2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2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2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2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2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2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2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2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2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2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2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2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2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2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2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2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2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2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2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2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2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2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2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2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2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2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2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2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2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2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2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2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2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2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2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2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2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2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2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2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2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2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2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2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2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2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2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2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2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2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2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2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2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2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2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2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2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2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2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2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2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2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2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2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2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2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2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2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2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2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2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2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2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2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2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2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2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2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2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2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2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2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2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2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2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2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2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2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2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2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2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2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2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2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2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2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2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2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2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2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2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2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2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2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2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2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2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2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2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2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2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2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2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2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2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2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2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2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2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2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2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2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2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2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2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2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2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2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2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2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2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2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2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2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2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2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2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2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2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2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2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2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2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2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2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2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2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2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2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2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2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2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2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2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2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2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2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2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2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2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2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2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2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2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2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2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2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2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2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2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2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2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2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2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2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2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2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2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2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2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2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2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2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2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2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2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2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2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2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2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2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2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2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2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2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2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2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2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2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2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2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2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2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2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2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2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2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2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2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2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2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2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2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2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2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2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2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2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2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2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2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2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2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2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2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2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2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2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2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2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2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2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2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2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2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2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2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2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2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2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2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2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2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2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2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2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2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2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2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2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2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2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2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2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2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2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2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2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2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2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2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2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2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2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2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2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2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2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2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2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2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2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2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2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2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2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2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2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2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2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2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2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2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2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2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2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2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2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2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2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2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2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2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2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2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2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2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2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2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2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2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2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2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2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2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2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2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2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2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2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2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2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2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2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2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2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2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2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2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2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2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2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2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2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2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2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2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2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2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2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2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2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2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2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2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2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2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2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2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2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2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2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2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2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2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2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2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2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2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2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2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2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2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2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2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2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2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2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2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2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2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2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2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2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2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2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2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2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2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2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2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2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2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2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2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2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2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2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2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2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2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2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2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2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2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2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2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2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2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2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2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2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2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2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2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2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2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2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2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2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2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2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2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2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2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2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2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2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2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2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2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2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2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2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2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2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2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2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2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2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2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2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2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2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2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2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2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2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2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2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2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2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2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2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2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2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2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2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2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2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2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2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2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2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2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2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2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2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2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2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2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2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2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2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2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2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2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2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2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2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2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2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2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2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2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2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2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2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2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2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2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2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2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2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2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2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2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2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2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2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2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2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2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2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2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2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2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2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2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2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2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2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2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2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2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2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2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2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2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2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2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2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2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2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2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2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2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2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2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2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2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2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2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2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2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2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2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2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2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2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2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2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2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2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2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2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2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2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2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2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2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2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2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2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2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2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2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2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2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2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2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2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2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2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2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2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2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2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2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2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2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2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2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2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2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2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2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2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2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2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2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2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2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2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2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2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2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2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2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2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2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2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2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2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2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2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2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2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2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2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2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2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2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2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2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2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2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2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2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2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2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2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2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2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2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2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2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2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2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2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2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2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2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2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2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2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2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2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2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2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2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2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2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2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2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2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2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2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2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2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2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2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2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2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2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2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2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2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2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2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2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2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2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2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2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2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2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2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2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2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2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2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2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2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2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2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2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2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2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2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2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2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2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2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2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2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2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2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2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2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2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2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2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2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2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2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2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2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2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2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2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2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2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2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2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2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2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2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2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2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2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2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2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2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2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2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2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2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2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2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2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2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2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2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2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2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2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2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2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2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2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2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2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2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2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2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2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2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2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2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2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2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2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2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2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2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2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2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2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2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2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2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2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2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2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2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2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2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2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2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2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2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2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2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2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2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2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2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2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2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2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2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2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2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2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2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2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2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2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2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2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2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2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2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2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2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2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2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2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2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2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2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2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2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2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2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2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2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2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2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2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2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2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2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2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2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2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2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2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2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2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2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2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2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2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2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2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2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2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2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2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2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2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2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2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2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2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2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2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2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2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2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2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2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2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2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2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2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2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2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2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2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2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2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2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2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2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2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2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2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2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2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2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2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2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2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2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2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2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2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2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2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2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2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2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2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2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2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2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2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2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2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2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2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2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2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2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2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2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2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2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2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2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2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2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2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2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2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2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2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2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2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2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2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2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2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2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2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2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2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2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2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2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2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2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2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2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2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2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2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2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2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2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2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2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2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2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2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2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2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2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2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2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2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2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2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2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2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2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2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2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2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2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2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2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2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2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2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2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2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2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2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2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2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2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2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2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2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2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2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2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2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2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2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2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2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2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2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2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2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2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2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2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2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2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2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2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2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2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2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2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2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2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2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2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2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2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2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2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2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2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2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2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2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2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2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2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2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2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2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2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2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2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2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2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2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2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2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2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2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2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2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2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2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2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2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2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2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2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2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2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2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2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2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2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2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2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2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2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2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2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2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2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2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2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2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2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2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2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2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2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2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2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2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2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2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2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2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2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2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2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2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2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2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2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2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2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2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2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2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2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2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2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2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2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2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2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2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2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2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2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2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2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2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2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2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2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2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2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2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2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2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2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2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2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2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2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2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2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2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2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2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2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2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2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2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2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2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2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2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2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2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2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2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2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2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2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2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2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2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2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2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2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2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2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2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2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2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2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2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2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2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2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2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2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2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2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2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2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2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2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2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2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2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2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2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2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2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2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2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2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2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2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2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2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2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2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2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2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2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2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2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2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2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2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2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2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2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2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2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2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2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2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2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2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2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2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2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2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2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2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2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2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2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2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2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2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2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2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2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2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2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2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2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2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2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2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2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2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2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2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2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2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2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2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2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2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2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2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2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2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2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2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2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2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2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2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2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2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2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2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2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2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2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2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2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2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2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2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2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2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2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2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2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2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2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2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2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2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2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2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2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2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2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2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2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2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2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2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2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2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2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2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2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2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2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2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2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2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2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2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2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2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2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2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2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2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2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2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2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2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2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2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2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2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2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2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2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2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2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2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2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2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2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2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2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2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2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2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2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2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2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2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2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2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2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2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2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2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2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2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2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2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2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2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2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2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2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2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2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2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2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2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2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2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2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2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2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2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2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2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2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2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2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2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2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2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2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2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2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2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2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2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2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2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2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2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2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2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2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2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2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2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2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2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2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2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2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2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2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2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2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2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2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2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2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2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2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2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2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2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2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2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2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5">
        <v>2013</v>
      </c>
      <c r="C11212" s="16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5">
        <v>2013</v>
      </c>
      <c r="C11213" s="16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5">
        <v>2013</v>
      </c>
      <c r="C11214" s="16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5">
        <v>2013</v>
      </c>
      <c r="C11215" s="16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5">
        <v>2013</v>
      </c>
      <c r="C11216" s="16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5">
        <v>2013</v>
      </c>
      <c r="C11217" s="16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5">
        <v>2013</v>
      </c>
      <c r="C11218" s="16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5">
        <v>2013</v>
      </c>
      <c r="C11219" s="16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5">
        <v>2013</v>
      </c>
      <c r="C11220" s="16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5">
        <v>2013</v>
      </c>
      <c r="C11221" s="16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5">
        <v>2013</v>
      </c>
      <c r="C11222" s="16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5">
        <v>2013</v>
      </c>
      <c r="C11223" s="16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5">
        <v>2013</v>
      </c>
      <c r="C11224" s="16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5">
        <v>2013</v>
      </c>
      <c r="C11225" s="16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5">
        <v>2013</v>
      </c>
      <c r="C11226" s="16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5">
        <v>2013</v>
      </c>
      <c r="C11227" s="16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5">
        <v>2013</v>
      </c>
      <c r="C11228" s="16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5">
        <v>2013</v>
      </c>
      <c r="C11229" s="16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5">
        <v>2013</v>
      </c>
      <c r="C11230" s="16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5">
        <v>2013</v>
      </c>
      <c r="C11231" s="16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5">
        <v>2013</v>
      </c>
      <c r="C11232" s="16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5">
        <v>2013</v>
      </c>
      <c r="C11233" s="16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5">
        <v>2013</v>
      </c>
      <c r="C11234" s="16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5">
        <v>2013</v>
      </c>
      <c r="C11235" s="16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5">
        <v>2013</v>
      </c>
      <c r="C11236" s="16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5">
        <v>2013</v>
      </c>
      <c r="C11237" s="16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5">
        <v>2013</v>
      </c>
      <c r="C11238" s="16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5">
        <v>2013</v>
      </c>
      <c r="C11239" s="16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5">
        <v>2013</v>
      </c>
      <c r="C11240" s="16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5">
        <v>2013</v>
      </c>
      <c r="C11241" s="16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5">
        <v>2013</v>
      </c>
      <c r="C11242" s="16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5">
        <v>2013</v>
      </c>
      <c r="C11243" s="16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5">
        <v>2013</v>
      </c>
      <c r="C11244" s="16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5">
        <v>2013</v>
      </c>
      <c r="C11245" s="16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5">
        <v>2013</v>
      </c>
      <c r="C11246" s="16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5">
        <v>2013</v>
      </c>
      <c r="C11247" s="16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5">
        <v>2013</v>
      </c>
      <c r="C11248" s="16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5">
        <v>2013</v>
      </c>
      <c r="C11249" s="16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5">
        <v>2013</v>
      </c>
      <c r="C11250" s="16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5">
        <v>2013</v>
      </c>
      <c r="C11251" s="16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5">
        <v>2013</v>
      </c>
      <c r="C11252" s="16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5">
        <v>2013</v>
      </c>
      <c r="C11253" s="16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5">
        <v>2013</v>
      </c>
      <c r="C11254" s="16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5">
        <v>2013</v>
      </c>
      <c r="C11255" s="16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5">
        <v>2013</v>
      </c>
      <c r="C11256" s="16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5">
        <v>2013</v>
      </c>
      <c r="C11257" s="16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5">
        <v>2013</v>
      </c>
      <c r="C11258" s="16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5">
        <v>2013</v>
      </c>
      <c r="C11259" s="16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5">
        <v>2013</v>
      </c>
      <c r="C11260" s="16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5">
        <v>2013</v>
      </c>
      <c r="C11261" s="16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5">
        <v>2013</v>
      </c>
      <c r="C11262" s="16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5">
        <v>2013</v>
      </c>
      <c r="C11263" s="16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5">
        <v>2013</v>
      </c>
      <c r="C11264" s="16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5">
        <v>2013</v>
      </c>
      <c r="C11265" s="16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5">
        <v>2013</v>
      </c>
      <c r="C11266" s="16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5">
        <v>2013</v>
      </c>
      <c r="C11267" s="16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5">
        <v>2013</v>
      </c>
      <c r="C11268" s="16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5">
        <v>2013</v>
      </c>
      <c r="C11269" s="16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5">
        <v>2013</v>
      </c>
      <c r="C11270" s="16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5">
        <v>2013</v>
      </c>
      <c r="C11271" s="16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5">
        <v>2013</v>
      </c>
      <c r="C11272" s="16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5">
        <v>2013</v>
      </c>
      <c r="C11273" s="16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5">
        <v>2013</v>
      </c>
      <c r="C11274" s="16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5">
        <v>2013</v>
      </c>
      <c r="C11275" s="16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5">
        <v>2013</v>
      </c>
      <c r="C11276" s="16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5">
        <v>2013</v>
      </c>
      <c r="C11277" s="16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5">
        <v>2013</v>
      </c>
      <c r="C11278" s="16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5">
        <v>2013</v>
      </c>
      <c r="C11279" s="16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5">
        <v>2013</v>
      </c>
      <c r="C11280" s="16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5">
        <v>2013</v>
      </c>
      <c r="C11281" s="16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5">
        <v>2013</v>
      </c>
      <c r="C11282" s="16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5">
        <v>2013</v>
      </c>
      <c r="C11283" s="16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5">
        <v>2013</v>
      </c>
      <c r="C11284" s="16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5">
        <v>2013</v>
      </c>
      <c r="C11285" s="16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5">
        <v>2013</v>
      </c>
      <c r="C11286" s="16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5">
        <v>2013</v>
      </c>
      <c r="C11287" s="16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5">
        <v>2013</v>
      </c>
      <c r="C11288" s="16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5">
        <v>2013</v>
      </c>
      <c r="C11289" s="16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5">
        <v>2013</v>
      </c>
      <c r="C11290" s="16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5">
        <v>2013</v>
      </c>
      <c r="C11291" s="16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5">
        <v>2013</v>
      </c>
      <c r="C11292" s="16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5">
        <v>2013</v>
      </c>
      <c r="C11293" s="16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5">
        <v>2013</v>
      </c>
      <c r="C11294" s="16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5">
        <v>2013</v>
      </c>
      <c r="C11295" s="16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5">
        <v>2013</v>
      </c>
      <c r="C11296" s="16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5">
        <v>2013</v>
      </c>
      <c r="C11297" s="16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5">
        <v>2013</v>
      </c>
      <c r="C11298" s="16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5">
        <v>2013</v>
      </c>
      <c r="C11299" s="16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5">
        <v>2013</v>
      </c>
      <c r="C11300" s="16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5">
        <v>2013</v>
      </c>
      <c r="C11301" s="16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5">
        <v>2013</v>
      </c>
      <c r="C11302" s="16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5">
        <v>2013</v>
      </c>
      <c r="C11303" s="16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5">
        <v>2013</v>
      </c>
      <c r="C11304" s="16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5">
        <v>2013</v>
      </c>
      <c r="C11305" s="16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5">
        <v>2013</v>
      </c>
      <c r="C11306" s="16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5">
        <v>2013</v>
      </c>
      <c r="C11307" s="16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5">
        <v>2013</v>
      </c>
      <c r="C11308" s="16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5">
        <v>2013</v>
      </c>
      <c r="C11309" s="16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5">
        <v>2013</v>
      </c>
      <c r="C11310" s="16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5">
        <v>2013</v>
      </c>
      <c r="C11311" s="16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5">
        <v>2013</v>
      </c>
      <c r="C11312" s="16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5">
        <v>2013</v>
      </c>
      <c r="C11313" s="16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5">
        <v>2013</v>
      </c>
      <c r="C11314" s="16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5">
        <v>2013</v>
      </c>
      <c r="C11315" s="16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5">
        <v>2013</v>
      </c>
      <c r="C11316" s="16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5">
        <v>2013</v>
      </c>
      <c r="C11317" s="16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5">
        <v>2013</v>
      </c>
      <c r="C11318" s="16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5">
        <v>2013</v>
      </c>
      <c r="C11319" s="16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5">
        <v>2013</v>
      </c>
      <c r="C11320" s="16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5">
        <v>2013</v>
      </c>
      <c r="C11321" s="16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5">
        <v>2013</v>
      </c>
      <c r="C11322" s="16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5">
        <v>2013</v>
      </c>
      <c r="C11323" s="16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5">
        <v>2013</v>
      </c>
      <c r="C11324" s="16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5">
        <v>2013</v>
      </c>
      <c r="C11325" s="16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5">
        <v>2013</v>
      </c>
      <c r="C11326" s="16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5">
        <v>2013</v>
      </c>
      <c r="C11327" s="16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5">
        <v>2013</v>
      </c>
      <c r="C11328" s="16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5">
        <v>2013</v>
      </c>
      <c r="C11329" s="16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5">
        <v>2013</v>
      </c>
      <c r="C11330" s="16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5">
        <v>2013</v>
      </c>
      <c r="C11331" s="16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5">
        <v>2013</v>
      </c>
      <c r="C11332" s="16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5">
        <v>2013</v>
      </c>
      <c r="C11333" s="16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5">
        <v>2013</v>
      </c>
      <c r="C11334" s="16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5">
        <v>2013</v>
      </c>
      <c r="C11335" s="16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5">
        <v>2013</v>
      </c>
      <c r="C11336" s="16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5">
        <v>2013</v>
      </c>
      <c r="C11337" s="16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5">
        <v>2013</v>
      </c>
      <c r="C11338" s="16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5">
        <v>2013</v>
      </c>
      <c r="C11339" s="16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5">
        <v>2013</v>
      </c>
      <c r="C11340" s="16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5">
        <v>2013</v>
      </c>
      <c r="C11341" s="16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5">
        <v>2013</v>
      </c>
      <c r="C11342" s="16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5">
        <v>2013</v>
      </c>
      <c r="C11343" s="16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5">
        <v>2013</v>
      </c>
      <c r="C11344" s="16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5">
        <v>2013</v>
      </c>
      <c r="C11345" s="16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5">
        <v>2013</v>
      </c>
      <c r="C11346" s="16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5">
        <v>2013</v>
      </c>
      <c r="C11347" s="16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5">
        <v>2013</v>
      </c>
      <c r="C11348" s="16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5">
        <v>2013</v>
      </c>
      <c r="C11349" s="16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5">
        <v>2013</v>
      </c>
      <c r="C11350" s="16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5">
        <v>2013</v>
      </c>
      <c r="C11351" s="16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5">
        <v>2013</v>
      </c>
      <c r="C11352" s="16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5">
        <v>2013</v>
      </c>
      <c r="C11353" s="16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5">
        <v>2013</v>
      </c>
      <c r="C11354" s="16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5">
        <v>2013</v>
      </c>
      <c r="C11355" s="16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5">
        <v>2013</v>
      </c>
      <c r="C11356" s="16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5">
        <v>2013</v>
      </c>
      <c r="C11357" s="16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5">
        <v>2013</v>
      </c>
      <c r="C11358" s="16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5">
        <v>2013</v>
      </c>
      <c r="C11359" s="16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5">
        <v>2013</v>
      </c>
      <c r="C11360" s="16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5">
        <v>2013</v>
      </c>
      <c r="C11361" s="16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5">
        <v>2013</v>
      </c>
      <c r="C11362" s="16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5">
        <v>2013</v>
      </c>
      <c r="C11363" s="16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5">
        <v>2013</v>
      </c>
      <c r="C11364" s="16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5">
        <v>2013</v>
      </c>
      <c r="C11365" s="16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5">
        <v>2013</v>
      </c>
      <c r="C11366" s="16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5">
        <v>2013</v>
      </c>
      <c r="C11367" s="16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5">
        <v>2013</v>
      </c>
      <c r="C11368" s="16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5">
        <v>2013</v>
      </c>
      <c r="C11369" s="16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5">
        <v>2013</v>
      </c>
      <c r="C11370" s="16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5">
        <v>2013</v>
      </c>
      <c r="C11371" s="16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5">
        <v>2013</v>
      </c>
      <c r="C11372" s="16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5">
        <v>2013</v>
      </c>
      <c r="C11373" s="16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5">
        <v>2013</v>
      </c>
      <c r="C11374" s="16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5">
        <v>2013</v>
      </c>
      <c r="C11375" s="16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5">
        <v>2013</v>
      </c>
      <c r="C11376" s="16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5">
        <v>2013</v>
      </c>
      <c r="C11377" s="16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5">
        <v>2013</v>
      </c>
      <c r="C11378" s="16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5">
        <v>2013</v>
      </c>
      <c r="C11379" s="16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5">
        <v>2013</v>
      </c>
      <c r="C11380" s="16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5">
        <v>2013</v>
      </c>
      <c r="C11381" s="16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5">
        <v>2013</v>
      </c>
      <c r="C11382" s="16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5">
        <v>2013</v>
      </c>
      <c r="C11383" s="16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5">
        <v>2013</v>
      </c>
      <c r="C11384" s="16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5">
        <v>2013</v>
      </c>
      <c r="C11385" s="16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5">
        <v>2013</v>
      </c>
      <c r="C11386" s="16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5">
        <v>2013</v>
      </c>
      <c r="C11387" s="16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5">
        <v>2013</v>
      </c>
      <c r="C11388" s="16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5">
        <v>2013</v>
      </c>
      <c r="C11389" s="16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5">
        <v>2013</v>
      </c>
      <c r="C11390" s="16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5">
        <v>2013</v>
      </c>
      <c r="C11391" s="16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5">
        <v>2013</v>
      </c>
      <c r="C11392" s="16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5">
        <v>2013</v>
      </c>
      <c r="C11393" s="16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5">
        <v>2013</v>
      </c>
      <c r="C11394" s="16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5">
        <v>2013</v>
      </c>
      <c r="C11395" s="16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5">
        <v>2013</v>
      </c>
      <c r="C11396" s="16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5">
        <v>2013</v>
      </c>
      <c r="C11397" s="16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5">
        <v>2013</v>
      </c>
      <c r="C11398" s="16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5">
        <v>2013</v>
      </c>
      <c r="C11399" s="16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5">
        <v>2013</v>
      </c>
      <c r="C11400" s="16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5">
        <v>2013</v>
      </c>
      <c r="C11401" s="16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5">
        <v>2013</v>
      </c>
      <c r="C11402" s="16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5">
        <v>2013</v>
      </c>
      <c r="C11403" s="16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5">
        <v>2013</v>
      </c>
      <c r="C11404" s="16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5">
        <v>2013</v>
      </c>
      <c r="C11405" s="16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5">
        <v>2013</v>
      </c>
      <c r="C11406" s="16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5">
        <v>2013</v>
      </c>
      <c r="C11407" s="16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5">
        <v>2013</v>
      </c>
      <c r="C11408" s="16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5">
        <v>2013</v>
      </c>
      <c r="C11409" s="16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5">
        <v>2013</v>
      </c>
      <c r="C11410" s="16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5">
        <v>2013</v>
      </c>
      <c r="C11411" s="16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5">
        <v>2013</v>
      </c>
      <c r="C11412" s="16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5">
        <v>2013</v>
      </c>
      <c r="C11413" s="16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5">
        <v>2013</v>
      </c>
      <c r="C11414" s="16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5">
        <v>2013</v>
      </c>
      <c r="C11415" s="16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5">
        <v>2013</v>
      </c>
      <c r="C11416" s="16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5">
        <v>2013</v>
      </c>
      <c r="C11417" s="16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5">
        <v>2013</v>
      </c>
      <c r="C11418" s="16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5">
        <v>2013</v>
      </c>
      <c r="C11419" s="16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5">
        <v>2013</v>
      </c>
      <c r="C11420" s="16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5">
        <v>2013</v>
      </c>
      <c r="C11421" s="16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5">
        <v>2013</v>
      </c>
      <c r="C11422" s="16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5">
        <v>2013</v>
      </c>
      <c r="C11423" s="16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5">
        <v>2013</v>
      </c>
      <c r="C11424" s="16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5">
        <v>2013</v>
      </c>
      <c r="C11425" s="16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5">
        <v>2013</v>
      </c>
      <c r="C11426" s="16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5">
        <v>2013</v>
      </c>
      <c r="C11427" s="16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5">
        <v>2013</v>
      </c>
      <c r="C11428" s="16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5">
        <v>2013</v>
      </c>
      <c r="C11429" s="16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5">
        <v>2013</v>
      </c>
      <c r="C11430" s="16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5">
        <v>2013</v>
      </c>
      <c r="C11431" s="16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5">
        <v>2013</v>
      </c>
      <c r="C11432" s="16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5">
        <v>2013</v>
      </c>
      <c r="C11433" s="16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5">
        <v>2013</v>
      </c>
      <c r="C11434" s="16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5">
        <v>2013</v>
      </c>
      <c r="C11435" s="16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5">
        <v>2013</v>
      </c>
      <c r="C11436" s="16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5">
        <v>2013</v>
      </c>
      <c r="C11437" s="16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5">
        <v>2013</v>
      </c>
      <c r="C11438" s="16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5">
        <v>2013</v>
      </c>
      <c r="C11439" s="16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5">
        <v>2013</v>
      </c>
      <c r="C11440" s="16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5">
        <v>2013</v>
      </c>
      <c r="C11441" s="16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5">
        <v>2013</v>
      </c>
      <c r="C11442" s="16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5">
        <v>2013</v>
      </c>
      <c r="C11443" s="16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5">
        <v>2013</v>
      </c>
      <c r="C11444" s="16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5">
        <v>2013</v>
      </c>
      <c r="C11445" s="16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5">
        <v>2013</v>
      </c>
      <c r="C11446" s="16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5">
        <v>2013</v>
      </c>
      <c r="C11447" s="16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5">
        <v>2013</v>
      </c>
      <c r="C11448" s="16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5">
        <v>2013</v>
      </c>
      <c r="C11449" s="16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5">
        <v>2013</v>
      </c>
      <c r="C11450" s="16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5">
        <v>2013</v>
      </c>
      <c r="C11451" s="16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5">
        <v>2013</v>
      </c>
      <c r="C11452" s="16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5">
        <v>2013</v>
      </c>
      <c r="C11453" s="16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5">
        <v>2013</v>
      </c>
      <c r="C11454" s="16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5">
        <v>2013</v>
      </c>
      <c r="C11455" s="16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5">
        <v>2013</v>
      </c>
      <c r="C11456" s="16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5">
        <v>2013</v>
      </c>
      <c r="C11457" s="16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5">
        <v>2013</v>
      </c>
      <c r="C11458" s="16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5">
        <v>2013</v>
      </c>
      <c r="C11459" s="16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5">
        <v>2013</v>
      </c>
      <c r="C11460" s="16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5">
        <v>2013</v>
      </c>
      <c r="C11461" s="16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5">
        <v>2013</v>
      </c>
      <c r="C11462" s="16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5">
        <v>2013</v>
      </c>
      <c r="C11463" s="16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5">
        <v>2013</v>
      </c>
      <c r="C11464" s="16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5">
        <v>2013</v>
      </c>
      <c r="C11465" s="16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5">
        <v>2013</v>
      </c>
      <c r="C11466" s="16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5">
        <v>2013</v>
      </c>
      <c r="C11467" s="16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5">
        <v>2013</v>
      </c>
      <c r="C11468" s="16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5">
        <v>2013</v>
      </c>
      <c r="C11469" s="16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5">
        <v>2013</v>
      </c>
      <c r="C11470" s="16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5">
        <v>2013</v>
      </c>
      <c r="C11471" s="16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5">
        <v>2013</v>
      </c>
      <c r="C11472" s="16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5">
        <v>2013</v>
      </c>
      <c r="C11473" s="16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5">
        <v>2013</v>
      </c>
      <c r="C11474" s="16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5">
        <v>2013</v>
      </c>
      <c r="C11475" s="16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5">
        <v>2013</v>
      </c>
      <c r="C11476" s="16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5">
        <v>2013</v>
      </c>
      <c r="C11477" s="16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5">
        <v>2013</v>
      </c>
      <c r="C11478" s="16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5">
        <v>2013</v>
      </c>
      <c r="C11479" s="16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5">
        <v>2013</v>
      </c>
      <c r="C11480" s="16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5">
        <v>2013</v>
      </c>
      <c r="C11481" s="16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5">
        <v>2013</v>
      </c>
      <c r="C11482" s="16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5">
        <v>2013</v>
      </c>
      <c r="C11483" s="16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5">
        <v>2013</v>
      </c>
      <c r="C11484" s="16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5">
        <v>2013</v>
      </c>
      <c r="C11485" s="16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5">
        <v>2013</v>
      </c>
      <c r="C11486" s="16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5">
        <v>2013</v>
      </c>
      <c r="C11487" s="16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5">
        <v>2013</v>
      </c>
      <c r="C11488" s="16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5">
        <v>2013</v>
      </c>
      <c r="C11489" s="16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5">
        <v>2013</v>
      </c>
      <c r="C11490" s="16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5">
        <v>2013</v>
      </c>
      <c r="C11491" s="16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5">
        <v>2013</v>
      </c>
      <c r="C11492" s="16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5">
        <v>2013</v>
      </c>
      <c r="C11493" s="16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5">
        <v>2013</v>
      </c>
      <c r="C11494" s="16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5">
        <v>2013</v>
      </c>
      <c r="C11495" s="16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5">
        <v>2013</v>
      </c>
      <c r="C11496" s="16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5">
        <v>2013</v>
      </c>
      <c r="C11497" s="16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5">
        <v>2013</v>
      </c>
      <c r="C11498" s="16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5">
        <v>2013</v>
      </c>
      <c r="C11499" s="16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5">
        <v>2013</v>
      </c>
      <c r="C11500" s="16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5">
        <v>2013</v>
      </c>
      <c r="C11501" s="16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5">
        <v>2013</v>
      </c>
      <c r="C11502" s="16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5">
        <v>2013</v>
      </c>
      <c r="C11503" s="16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5">
        <v>2013</v>
      </c>
      <c r="C11504" s="16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5">
        <v>2013</v>
      </c>
      <c r="C11505" s="16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5">
        <v>2013</v>
      </c>
      <c r="C11506" s="16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5">
        <v>2013</v>
      </c>
      <c r="C11507" s="16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5">
        <v>2013</v>
      </c>
      <c r="C11508" s="16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5">
        <v>2013</v>
      </c>
      <c r="C11509" s="16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5">
        <v>2013</v>
      </c>
      <c r="C11510" s="16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5">
        <v>2013</v>
      </c>
      <c r="C11511" s="16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5">
        <v>2013</v>
      </c>
      <c r="C11512" s="16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5">
        <v>2013</v>
      </c>
      <c r="C11513" s="16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5">
        <v>2013</v>
      </c>
      <c r="C11514" s="16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5">
        <v>2013</v>
      </c>
      <c r="C11515" s="16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5">
        <v>2013</v>
      </c>
      <c r="C11516" s="16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5">
        <v>2013</v>
      </c>
      <c r="C11517" s="16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5">
        <v>2013</v>
      </c>
      <c r="C11518" s="16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5">
        <v>2013</v>
      </c>
      <c r="C11519" s="16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5">
        <v>2013</v>
      </c>
      <c r="C11520" s="16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5">
        <v>2013</v>
      </c>
      <c r="C11521" s="16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5">
        <v>2013</v>
      </c>
      <c r="C11522" s="16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5">
        <v>2013</v>
      </c>
      <c r="C11523" s="16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5">
        <v>2013</v>
      </c>
      <c r="C11524" s="16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5">
        <v>2013</v>
      </c>
      <c r="C11525" s="16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5">
        <v>2013</v>
      </c>
      <c r="C11526" s="16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5">
        <v>2013</v>
      </c>
      <c r="C11527" s="16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5">
        <v>2013</v>
      </c>
      <c r="C11528" s="16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5">
        <v>2013</v>
      </c>
      <c r="C11529" s="16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5">
        <v>2013</v>
      </c>
      <c r="C11530" s="16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5">
        <v>2013</v>
      </c>
      <c r="C11531" s="16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5">
        <v>2013</v>
      </c>
      <c r="C11532" s="16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5">
        <v>2013</v>
      </c>
      <c r="C11533" s="16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5">
        <v>2013</v>
      </c>
      <c r="C11534" s="16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5">
        <v>2013</v>
      </c>
      <c r="C11535" s="16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5">
        <v>2013</v>
      </c>
      <c r="C11536" s="16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5">
        <v>2013</v>
      </c>
      <c r="C11537" s="16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5">
        <v>2013</v>
      </c>
      <c r="C11538" s="16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5">
        <v>2013</v>
      </c>
      <c r="C11539" s="16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5">
        <v>2013</v>
      </c>
      <c r="C11540" s="16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5">
        <v>2013</v>
      </c>
      <c r="C11541" s="16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5">
        <v>2013</v>
      </c>
      <c r="C11542" s="16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5">
        <v>2013</v>
      </c>
      <c r="C11543" s="16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5">
        <v>2013</v>
      </c>
      <c r="C11544" s="16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5">
        <v>2013</v>
      </c>
      <c r="C11545" s="16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5">
        <v>2013</v>
      </c>
      <c r="C11546" s="16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5">
        <v>2013</v>
      </c>
      <c r="C11547" s="16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5">
        <v>2013</v>
      </c>
      <c r="C11548" s="16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5">
        <v>2013</v>
      </c>
      <c r="C11549" s="16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5">
        <v>2013</v>
      </c>
      <c r="C11550" s="16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5">
        <v>2013</v>
      </c>
      <c r="C11551" s="16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5">
        <v>2013</v>
      </c>
      <c r="C11552" s="16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5">
        <v>2013</v>
      </c>
      <c r="C11553" s="16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5">
        <v>2013</v>
      </c>
      <c r="C11554" s="16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5">
        <v>2013</v>
      </c>
      <c r="C11555" s="16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5">
        <v>2013</v>
      </c>
      <c r="C11556" s="16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5">
        <v>2013</v>
      </c>
      <c r="C11557" s="16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5">
        <v>2013</v>
      </c>
      <c r="C11558" s="16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5">
        <v>2013</v>
      </c>
      <c r="C11559" s="16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5">
        <v>2013</v>
      </c>
      <c r="C11560" s="16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5">
        <v>2013</v>
      </c>
      <c r="C11561" s="16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5">
        <v>2013</v>
      </c>
      <c r="C11562" s="16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5">
        <v>2013</v>
      </c>
      <c r="C11563" s="16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5">
        <v>2013</v>
      </c>
      <c r="C11564" s="16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5">
        <v>2013</v>
      </c>
      <c r="C11565" s="16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5">
        <v>2013</v>
      </c>
      <c r="C11566" s="16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5">
        <v>2013</v>
      </c>
      <c r="C11567" s="16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5">
        <v>2013</v>
      </c>
      <c r="C11568" s="16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5">
        <v>2013</v>
      </c>
      <c r="C11569" s="16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5">
        <v>2013</v>
      </c>
      <c r="C11570" s="16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5">
        <v>2013</v>
      </c>
      <c r="C11571" s="16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5">
        <v>2013</v>
      </c>
      <c r="C11572" s="16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5">
        <v>2013</v>
      </c>
      <c r="C11573" s="16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5">
        <v>2013</v>
      </c>
      <c r="C11574" s="16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5">
        <v>2013</v>
      </c>
      <c r="C11575" s="16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5">
        <v>2013</v>
      </c>
      <c r="C11576" s="16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5">
        <v>2013</v>
      </c>
      <c r="C11577" s="16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5">
        <v>2013</v>
      </c>
      <c r="C11578" s="16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5">
        <v>2013</v>
      </c>
      <c r="C11579" s="16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5">
        <v>2013</v>
      </c>
      <c r="C11580" s="16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5">
        <v>2013</v>
      </c>
      <c r="C11581" s="16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5">
        <v>2013</v>
      </c>
      <c r="C11582" s="16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5">
        <v>2013</v>
      </c>
      <c r="C11583" s="16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5">
        <v>2013</v>
      </c>
      <c r="C11584" s="16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5">
        <v>2013</v>
      </c>
      <c r="C11585" s="16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5">
        <v>2013</v>
      </c>
      <c r="C11586" s="16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5">
        <v>2013</v>
      </c>
      <c r="C11587" s="16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5">
        <v>2013</v>
      </c>
      <c r="C11588" s="16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5">
        <v>2013</v>
      </c>
      <c r="C11589" s="16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5">
        <v>2013</v>
      </c>
      <c r="C11590" s="16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5">
        <v>2013</v>
      </c>
      <c r="C11591" s="16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5">
        <v>2013</v>
      </c>
      <c r="C11592" s="16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5">
        <v>2013</v>
      </c>
      <c r="C11593" s="16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5">
        <v>2013</v>
      </c>
      <c r="C11594" s="16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5">
        <v>2013</v>
      </c>
      <c r="C11595" s="16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5">
        <v>2013</v>
      </c>
      <c r="C11596" s="16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5">
        <v>2013</v>
      </c>
      <c r="C11597" s="16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5">
        <v>2013</v>
      </c>
      <c r="C11598" s="16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5">
        <v>2013</v>
      </c>
      <c r="C11599" s="16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5">
        <v>2013</v>
      </c>
      <c r="C11600" s="16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5">
        <v>2013</v>
      </c>
      <c r="C11601" s="16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5">
        <v>2013</v>
      </c>
      <c r="C11602" s="16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5">
        <v>2013</v>
      </c>
      <c r="C11603" s="16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5">
        <v>2013</v>
      </c>
      <c r="C11604" s="16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5">
        <v>2013</v>
      </c>
      <c r="C11605" s="16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5">
        <v>2013</v>
      </c>
      <c r="C11606" s="16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5">
        <v>2013</v>
      </c>
      <c r="C11607" s="16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5">
        <v>2013</v>
      </c>
      <c r="C11608" s="16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5">
        <v>2013</v>
      </c>
      <c r="C11609" s="16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5">
        <v>2013</v>
      </c>
      <c r="C11610" s="16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5">
        <v>2013</v>
      </c>
      <c r="C11611" s="16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5">
        <v>2013</v>
      </c>
      <c r="C11612" s="16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5">
        <v>2013</v>
      </c>
      <c r="C11613" s="16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5">
        <v>2013</v>
      </c>
      <c r="C11614" s="16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5">
        <v>2013</v>
      </c>
      <c r="C11615" s="16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5">
        <v>2013</v>
      </c>
      <c r="C11616" s="16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5">
        <v>2013</v>
      </c>
      <c r="C11617" s="16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5">
        <v>2013</v>
      </c>
      <c r="C11618" s="16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5">
        <v>2013</v>
      </c>
      <c r="C11619" s="16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5">
        <v>2013</v>
      </c>
      <c r="C11620" s="16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5">
        <v>2013</v>
      </c>
      <c r="C11621" s="16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5">
        <v>2013</v>
      </c>
      <c r="C11622" s="16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5">
        <v>2013</v>
      </c>
      <c r="C11623" s="16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5">
        <v>2013</v>
      </c>
      <c r="C11624" s="16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5">
        <v>2013</v>
      </c>
      <c r="C11625" s="16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5">
        <v>2013</v>
      </c>
      <c r="C11626" s="16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5">
        <v>2013</v>
      </c>
      <c r="C11627" s="16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5">
        <v>2013</v>
      </c>
      <c r="C11628" s="16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5">
        <v>2013</v>
      </c>
      <c r="C11629" s="16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5">
        <v>2013</v>
      </c>
      <c r="C11630" s="16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5">
        <v>2013</v>
      </c>
      <c r="C11631" s="16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5">
        <v>2013</v>
      </c>
      <c r="C11632" s="16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5">
        <v>2013</v>
      </c>
      <c r="C11633" s="16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5">
        <v>2013</v>
      </c>
      <c r="C11634" s="16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5">
        <v>2013</v>
      </c>
      <c r="C11635" s="16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5">
        <v>2013</v>
      </c>
      <c r="C11636" s="16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5">
        <v>2013</v>
      </c>
      <c r="C11637" s="16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5">
        <v>2013</v>
      </c>
      <c r="C11638" s="16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5">
        <v>2013</v>
      </c>
      <c r="C11639" s="16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5">
        <v>2013</v>
      </c>
      <c r="C11640" s="16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5">
        <v>2013</v>
      </c>
      <c r="C11641" s="16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5">
        <v>2013</v>
      </c>
      <c r="C11642" s="16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5">
        <v>2013</v>
      </c>
      <c r="C11643" s="16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5">
        <v>2013</v>
      </c>
      <c r="C11644" s="16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5">
        <v>2013</v>
      </c>
      <c r="C11645" s="16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5">
        <v>2013</v>
      </c>
      <c r="C11646" s="16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5">
        <v>2013</v>
      </c>
      <c r="C11647" s="16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5">
        <v>2013</v>
      </c>
      <c r="C11648" s="16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5">
        <v>2013</v>
      </c>
      <c r="C11649" s="16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5">
        <v>2013</v>
      </c>
      <c r="C11650" s="16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5">
        <v>2013</v>
      </c>
      <c r="C11651" s="16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5">
        <v>2013</v>
      </c>
      <c r="C11652" s="16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5">
        <v>2013</v>
      </c>
      <c r="C11653" s="16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5">
        <v>2013</v>
      </c>
      <c r="C11654" s="16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5">
        <v>2013</v>
      </c>
      <c r="C11655" s="16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5">
        <v>2013</v>
      </c>
      <c r="C11656" s="16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5">
        <v>2013</v>
      </c>
      <c r="C11657" s="16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5">
        <v>2013</v>
      </c>
      <c r="C11658" s="16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5">
        <v>2013</v>
      </c>
      <c r="C11659" s="16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5">
        <v>2013</v>
      </c>
      <c r="C11660" s="16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5">
        <v>2013</v>
      </c>
      <c r="C11661" s="16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5">
        <v>2013</v>
      </c>
      <c r="C11662" s="16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5">
        <v>2013</v>
      </c>
      <c r="C11663" s="16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5">
        <v>2013</v>
      </c>
      <c r="C11664" s="16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5">
        <v>2013</v>
      </c>
      <c r="C11665" s="16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5">
        <v>2013</v>
      </c>
      <c r="C11666" s="16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5">
        <v>2013</v>
      </c>
      <c r="C11667" s="16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5">
        <v>2013</v>
      </c>
      <c r="C11668" s="16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5">
        <v>2013</v>
      </c>
      <c r="C11669" s="16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5">
        <v>2013</v>
      </c>
      <c r="C11670" s="16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5">
        <v>2013</v>
      </c>
      <c r="C11671" s="16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5">
        <v>2013</v>
      </c>
      <c r="C11672" s="16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5">
        <v>2013</v>
      </c>
      <c r="C11673" s="16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5">
        <v>2013</v>
      </c>
      <c r="C11674" s="16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5">
        <v>2013</v>
      </c>
      <c r="C11675" s="16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5">
        <v>2013</v>
      </c>
      <c r="C11676" s="16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5">
        <v>2013</v>
      </c>
      <c r="C11677" s="16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5">
        <v>2013</v>
      </c>
      <c r="C11678" s="16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5">
        <v>2013</v>
      </c>
      <c r="C11679" s="16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5">
        <v>2013</v>
      </c>
      <c r="C11680" s="16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5">
        <v>2013</v>
      </c>
      <c r="C11681" s="16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5">
        <v>2013</v>
      </c>
      <c r="C11682" s="16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5">
        <v>2013</v>
      </c>
      <c r="C11683" s="16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5">
        <v>2013</v>
      </c>
      <c r="C11684" s="16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5">
        <v>2013</v>
      </c>
      <c r="C11685" s="16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5">
        <v>2013</v>
      </c>
      <c r="C11686" s="16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5">
        <v>2013</v>
      </c>
      <c r="C11687" s="16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5">
        <v>2013</v>
      </c>
      <c r="C11688" s="16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5">
        <v>2013</v>
      </c>
      <c r="C11689" s="16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5">
        <v>2013</v>
      </c>
      <c r="C11690" s="16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5">
        <v>2013</v>
      </c>
      <c r="C11691" s="16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5">
        <v>2013</v>
      </c>
      <c r="C11692" s="16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5">
        <v>2013</v>
      </c>
      <c r="C11693" s="16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5">
        <v>2013</v>
      </c>
      <c r="C11694" s="16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5">
        <v>2013</v>
      </c>
      <c r="C11695" s="16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5">
        <v>2013</v>
      </c>
      <c r="C11696" s="16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5">
        <v>2013</v>
      </c>
      <c r="C11697" s="16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5">
        <v>2013</v>
      </c>
      <c r="C11698" s="16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5">
        <v>2013</v>
      </c>
      <c r="C11699" s="16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5">
        <v>2013</v>
      </c>
      <c r="C11700" s="16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5">
        <v>2013</v>
      </c>
      <c r="C11701" s="16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5">
        <v>2013</v>
      </c>
      <c r="C11702" s="16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5">
        <v>2013</v>
      </c>
      <c r="C11703" s="16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5">
        <v>2013</v>
      </c>
      <c r="C11704" s="16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5">
        <v>2013</v>
      </c>
      <c r="C11705" s="16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5">
        <v>2013</v>
      </c>
      <c r="C11706" s="16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5">
        <v>2013</v>
      </c>
      <c r="C11707" s="16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5">
        <v>2013</v>
      </c>
      <c r="C11708" s="16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5">
        <v>2013</v>
      </c>
      <c r="C11709" s="16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5">
        <v>2013</v>
      </c>
      <c r="C11710" s="16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5">
        <v>2013</v>
      </c>
      <c r="C11711" s="16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5">
        <v>2013</v>
      </c>
      <c r="C11712" s="16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5">
        <v>2013</v>
      </c>
      <c r="C11713" s="16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5">
        <v>2013</v>
      </c>
      <c r="C11714" s="16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5">
        <v>2013</v>
      </c>
      <c r="C11715" s="16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5">
        <v>2013</v>
      </c>
      <c r="C11716" s="16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5">
        <v>2013</v>
      </c>
      <c r="C11717" s="16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5">
        <v>2013</v>
      </c>
      <c r="C11718" s="16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5">
        <v>2013</v>
      </c>
      <c r="C11719" s="16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5">
        <v>2013</v>
      </c>
      <c r="C11720" s="16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5">
        <v>2013</v>
      </c>
      <c r="C11721" s="16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5">
        <v>2013</v>
      </c>
      <c r="C11722" s="16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5">
        <v>2013</v>
      </c>
      <c r="C11723" s="16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5">
        <v>2013</v>
      </c>
      <c r="C11724" s="16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5">
        <v>2013</v>
      </c>
      <c r="C11725" s="16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5">
        <v>2013</v>
      </c>
      <c r="C11726" s="16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5">
        <v>2013</v>
      </c>
      <c r="C11727" s="16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5">
        <v>2013</v>
      </c>
      <c r="C11728" s="16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5">
        <v>2013</v>
      </c>
      <c r="C11729" s="16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5">
        <v>2013</v>
      </c>
      <c r="C11730" s="16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5">
        <v>2013</v>
      </c>
      <c r="C11731" s="16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5">
        <v>2013</v>
      </c>
      <c r="C11732" s="16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5">
        <v>2013</v>
      </c>
      <c r="C11733" s="16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5">
        <v>2013</v>
      </c>
      <c r="C11734" s="16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5">
        <v>2013</v>
      </c>
      <c r="C11735" s="16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5">
        <v>2013</v>
      </c>
      <c r="C11736" s="16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5">
        <v>2013</v>
      </c>
      <c r="C11737" s="16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5">
        <v>2013</v>
      </c>
      <c r="C11738" s="16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5">
        <v>2013</v>
      </c>
      <c r="C11739" s="16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5">
        <v>2013</v>
      </c>
      <c r="C11740" s="16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5">
        <v>2013</v>
      </c>
      <c r="C11741" s="16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5">
        <v>2013</v>
      </c>
      <c r="C11742" s="16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5">
        <v>2013</v>
      </c>
      <c r="C11743" s="16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5">
        <v>2013</v>
      </c>
      <c r="C11744" s="16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5">
        <v>2013</v>
      </c>
      <c r="C11745" s="16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5">
        <v>2013</v>
      </c>
      <c r="C11746" s="16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5">
        <v>2013</v>
      </c>
      <c r="C11747" s="16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5">
        <v>2013</v>
      </c>
      <c r="C11748" s="16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5">
        <v>2013</v>
      </c>
      <c r="C11749" s="16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5">
        <v>2013</v>
      </c>
      <c r="C11750" s="16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5">
        <v>2013</v>
      </c>
      <c r="C11751" s="16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5">
        <v>2013</v>
      </c>
      <c r="C11752" s="16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5">
        <v>2013</v>
      </c>
      <c r="C11753" s="16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5">
        <v>2013</v>
      </c>
      <c r="C11754" s="16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5">
        <v>2013</v>
      </c>
      <c r="C11755" s="16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5">
        <v>2013</v>
      </c>
      <c r="C11756" s="16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5">
        <v>2013</v>
      </c>
      <c r="C11757" s="16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5">
        <v>2013</v>
      </c>
      <c r="C11758" s="16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5">
        <v>2013</v>
      </c>
      <c r="C11759" s="16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5">
        <v>2013</v>
      </c>
      <c r="C11760" s="16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5">
        <v>2013</v>
      </c>
      <c r="C11761" s="16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5">
        <v>2013</v>
      </c>
      <c r="C11762" s="16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5">
        <v>2013</v>
      </c>
      <c r="C11763" s="16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5">
        <v>2013</v>
      </c>
      <c r="C11764" s="16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5">
        <v>2013</v>
      </c>
      <c r="C11765" s="16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5">
        <v>2013</v>
      </c>
      <c r="C11766" s="16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5">
        <v>2013</v>
      </c>
      <c r="C11767" s="16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5">
        <v>2013</v>
      </c>
      <c r="C11768" s="16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5">
        <v>2013</v>
      </c>
      <c r="C11769" s="16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5">
        <v>2013</v>
      </c>
      <c r="C11770" s="16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5">
        <v>2013</v>
      </c>
      <c r="C11771" s="16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5">
        <v>2013</v>
      </c>
      <c r="C11772" s="16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5">
        <v>2013</v>
      </c>
      <c r="C11773" s="16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5">
        <v>2013</v>
      </c>
      <c r="C11774" s="16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5">
        <v>2013</v>
      </c>
      <c r="C11775" s="16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5">
        <v>2013</v>
      </c>
      <c r="C11776" s="16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5">
        <v>2013</v>
      </c>
      <c r="C11777" s="16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5">
        <v>2013</v>
      </c>
      <c r="C11778" s="16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5">
        <v>2013</v>
      </c>
      <c r="C11779" s="16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5">
        <v>2013</v>
      </c>
      <c r="C11780" s="16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5">
        <v>2013</v>
      </c>
      <c r="C11781" s="16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5">
        <v>2013</v>
      </c>
      <c r="C11782" s="16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5">
        <v>2013</v>
      </c>
      <c r="C11783" s="16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5">
        <v>2013</v>
      </c>
      <c r="C11784" s="16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5">
        <v>2013</v>
      </c>
      <c r="C11785" s="16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5">
        <v>2013</v>
      </c>
      <c r="C11786" s="16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5">
        <v>2013</v>
      </c>
      <c r="C11787" s="16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5">
        <v>2013</v>
      </c>
      <c r="C11788" s="16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5">
        <v>2013</v>
      </c>
      <c r="C11789" s="16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5">
        <v>2013</v>
      </c>
      <c r="C11790" s="16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5">
        <v>2013</v>
      </c>
      <c r="C11791" s="16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5">
        <v>2013</v>
      </c>
      <c r="C11792" s="16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5">
        <v>2013</v>
      </c>
      <c r="C11793" s="16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5">
        <v>2013</v>
      </c>
      <c r="C11794" s="16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5">
        <v>2013</v>
      </c>
      <c r="C11795" s="16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5">
        <v>2013</v>
      </c>
      <c r="C11796" s="16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5">
        <v>2013</v>
      </c>
      <c r="C11797" s="16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5">
        <v>2013</v>
      </c>
      <c r="C11798" s="16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5">
        <v>2013</v>
      </c>
      <c r="C11799" s="16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5">
        <v>2013</v>
      </c>
      <c r="C11800" s="16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5">
        <v>2013</v>
      </c>
      <c r="C11801" s="16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5">
        <v>2013</v>
      </c>
      <c r="C11802" s="16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5">
        <v>2013</v>
      </c>
      <c r="C11803" s="16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5">
        <v>2013</v>
      </c>
      <c r="C11804" s="16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5">
        <v>2013</v>
      </c>
      <c r="C11805" s="16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5">
        <v>2013</v>
      </c>
      <c r="C11806" s="16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5">
        <v>2013</v>
      </c>
      <c r="C11807" s="16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5">
        <v>2013</v>
      </c>
      <c r="C11808" s="16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5">
        <v>2013</v>
      </c>
      <c r="C11809" s="16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5">
        <v>2013</v>
      </c>
      <c r="C11810" s="16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5">
        <v>2013</v>
      </c>
      <c r="C11811" s="16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5">
        <v>2013</v>
      </c>
      <c r="C11812" s="16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5">
        <v>2013</v>
      </c>
      <c r="C11813" s="16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5">
        <v>2013</v>
      </c>
      <c r="C11814" s="16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5">
        <v>2013</v>
      </c>
      <c r="C11815" s="16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5">
        <v>2013</v>
      </c>
      <c r="C11816" s="16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5">
        <v>2013</v>
      </c>
      <c r="C11817" s="16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5">
        <v>2013</v>
      </c>
      <c r="C11818" s="16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5">
        <v>2013</v>
      </c>
      <c r="C11819" s="16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5">
        <v>2013</v>
      </c>
      <c r="C11820" s="16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5">
        <v>2013</v>
      </c>
      <c r="C11821" s="16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5">
        <v>2013</v>
      </c>
      <c r="C11822" s="16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5">
        <v>2013</v>
      </c>
      <c r="C11823" s="16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5">
        <v>2013</v>
      </c>
      <c r="C11824" s="16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5">
        <v>2013</v>
      </c>
      <c r="C11825" s="16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5">
        <v>2013</v>
      </c>
      <c r="C11826" s="16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5">
        <v>2013</v>
      </c>
      <c r="C11827" s="16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5">
        <v>2013</v>
      </c>
      <c r="C11828" s="16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5">
        <v>2013</v>
      </c>
      <c r="C11829" s="16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5">
        <v>2013</v>
      </c>
      <c r="C11830" s="16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5">
        <v>2013</v>
      </c>
      <c r="C11831" s="16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5">
        <v>2013</v>
      </c>
      <c r="C11832" s="16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5">
        <v>2013</v>
      </c>
      <c r="C11833" s="16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5">
        <v>2013</v>
      </c>
      <c r="C11834" s="16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5">
        <v>2013</v>
      </c>
      <c r="C11835" s="16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5">
        <v>2013</v>
      </c>
      <c r="C11836" s="16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5">
        <v>2013</v>
      </c>
      <c r="C11837" s="16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5">
        <v>2013</v>
      </c>
      <c r="C11838" s="16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5">
        <v>2013</v>
      </c>
      <c r="C11839" s="16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5">
        <v>2013</v>
      </c>
      <c r="C11840" s="16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5">
        <v>2013</v>
      </c>
      <c r="C11841" s="16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5">
        <v>2013</v>
      </c>
      <c r="C11842" s="16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5">
        <v>2013</v>
      </c>
      <c r="C11843" s="16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5">
        <v>2013</v>
      </c>
      <c r="C11844" s="16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5">
        <v>2013</v>
      </c>
      <c r="C11845" s="16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5">
        <v>2013</v>
      </c>
      <c r="C11846" s="16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5">
        <v>2013</v>
      </c>
      <c r="C11847" s="16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5">
        <v>2013</v>
      </c>
      <c r="C11848" s="16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5">
        <v>2013</v>
      </c>
      <c r="C11849" s="16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5">
        <v>2013</v>
      </c>
      <c r="C11850" s="16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5">
        <v>2013</v>
      </c>
      <c r="C11851" s="16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5">
        <v>2013</v>
      </c>
      <c r="C11852" s="16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5">
        <v>2013</v>
      </c>
      <c r="C11853" s="16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5">
        <v>2013</v>
      </c>
      <c r="C11854" s="16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5">
        <v>2013</v>
      </c>
      <c r="C11855" s="16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5">
        <v>2013</v>
      </c>
      <c r="C11856" s="16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5">
        <v>2013</v>
      </c>
      <c r="C11857" s="16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5">
        <v>2013</v>
      </c>
      <c r="C11858" s="16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5">
        <v>2013</v>
      </c>
      <c r="C11859" s="16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5">
        <v>2013</v>
      </c>
      <c r="C11860" s="16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5">
        <v>2013</v>
      </c>
      <c r="C11861" s="16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5">
        <v>2013</v>
      </c>
      <c r="C11862" s="16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5">
        <v>2013</v>
      </c>
      <c r="C11863" s="16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5">
        <v>2013</v>
      </c>
      <c r="C11864" s="16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5">
        <v>2013</v>
      </c>
      <c r="C11865" s="16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5">
        <v>2013</v>
      </c>
      <c r="C11866" s="16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5">
        <v>2013</v>
      </c>
      <c r="C11867" s="16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5">
        <v>2013</v>
      </c>
      <c r="C11868" s="16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5">
        <v>2013</v>
      </c>
      <c r="C11869" s="16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5">
        <v>2013</v>
      </c>
      <c r="C11870" s="16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5">
        <v>2013</v>
      </c>
      <c r="C11871" s="16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5">
        <v>2013</v>
      </c>
      <c r="C11872" s="16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5">
        <v>2013</v>
      </c>
      <c r="C11873" s="16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5">
        <v>2013</v>
      </c>
      <c r="C11874" s="16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5">
        <v>2013</v>
      </c>
      <c r="C11875" s="16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5">
        <v>2013</v>
      </c>
      <c r="C11876" s="16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5">
        <v>2013</v>
      </c>
      <c r="C11877" s="16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5">
        <v>2013</v>
      </c>
      <c r="C11878" s="16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5">
        <v>2013</v>
      </c>
      <c r="C11879" s="16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5">
        <v>2013</v>
      </c>
      <c r="C11880" s="16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5">
        <v>2013</v>
      </c>
      <c r="C11881" s="16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5">
        <v>2013</v>
      </c>
      <c r="C11882" s="16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5">
        <v>2013</v>
      </c>
      <c r="C11883" s="16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5">
        <v>2013</v>
      </c>
      <c r="C11884" s="16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5">
        <v>2013</v>
      </c>
      <c r="C11885" s="16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5">
        <v>2013</v>
      </c>
      <c r="C11886" s="16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5">
        <v>2013</v>
      </c>
      <c r="C11887" s="16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5">
        <v>2013</v>
      </c>
      <c r="C11888" s="16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5">
        <v>2013</v>
      </c>
      <c r="C11889" s="16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5">
        <v>2013</v>
      </c>
      <c r="C11890" s="16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5">
        <v>2013</v>
      </c>
      <c r="C11891" s="16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5">
        <v>2013</v>
      </c>
      <c r="C11892" s="16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5">
        <v>2013</v>
      </c>
      <c r="C11893" s="16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5">
        <v>2013</v>
      </c>
      <c r="C11894" s="16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5">
        <v>2013</v>
      </c>
      <c r="C11895" s="16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5">
        <v>2013</v>
      </c>
      <c r="C11896" s="16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5">
        <v>2013</v>
      </c>
      <c r="C11897" s="16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5">
        <v>2013</v>
      </c>
      <c r="C11898" s="16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5">
        <v>2013</v>
      </c>
      <c r="C11899" s="16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5">
        <v>2013</v>
      </c>
      <c r="C11900" s="16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5">
        <v>2013</v>
      </c>
      <c r="C11901" s="16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5">
        <v>2013</v>
      </c>
      <c r="C11902" s="16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5">
        <v>2013</v>
      </c>
      <c r="C11903" s="16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5">
        <v>2013</v>
      </c>
      <c r="C11904" s="16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5">
        <v>2013</v>
      </c>
      <c r="C11905" s="16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5">
        <v>2013</v>
      </c>
      <c r="C11906" s="16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5">
        <v>2013</v>
      </c>
      <c r="C11907" s="16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5">
        <v>2013</v>
      </c>
      <c r="C11908" s="16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5">
        <v>2013</v>
      </c>
      <c r="C11909" s="16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5">
        <v>2013</v>
      </c>
      <c r="C11910" s="16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5">
        <v>2013</v>
      </c>
      <c r="C11911" s="16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5">
        <v>2013</v>
      </c>
      <c r="C11912" s="16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5">
        <v>2013</v>
      </c>
      <c r="C11913" s="16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5">
        <v>2013</v>
      </c>
      <c r="C11914" s="16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5">
        <v>2013</v>
      </c>
      <c r="C11915" s="16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5">
        <v>2013</v>
      </c>
      <c r="C11916" s="16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5">
        <v>2013</v>
      </c>
      <c r="C11917" s="16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5">
        <v>2013</v>
      </c>
      <c r="C11918" s="16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5">
        <v>2013</v>
      </c>
      <c r="C11919" s="16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5">
        <v>2013</v>
      </c>
      <c r="C11920" s="16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5">
        <v>2013</v>
      </c>
      <c r="C11921" s="16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5">
        <v>2013</v>
      </c>
      <c r="C11922" s="16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5">
        <v>2013</v>
      </c>
      <c r="C11923" s="16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5">
        <v>2013</v>
      </c>
      <c r="C11924" s="16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5">
        <v>2013</v>
      </c>
      <c r="C11925" s="16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5">
        <v>2013</v>
      </c>
      <c r="C11926" s="16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5">
        <v>2013</v>
      </c>
      <c r="C11927" s="16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5">
        <v>2013</v>
      </c>
      <c r="C11928" s="16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5">
        <v>2013</v>
      </c>
      <c r="C11929" s="16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5">
        <v>2013</v>
      </c>
      <c r="C11930" s="16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5">
        <v>2013</v>
      </c>
      <c r="C11931" s="16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5">
        <v>2013</v>
      </c>
      <c r="C11932" s="16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5">
        <v>2013</v>
      </c>
      <c r="C11933" s="16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5">
        <v>2013</v>
      </c>
      <c r="C11934" s="16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5">
        <v>2013</v>
      </c>
      <c r="C11935" s="16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5">
        <v>2013</v>
      </c>
      <c r="C11936" s="16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5">
        <v>2013</v>
      </c>
      <c r="C11937" s="16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5">
        <v>2013</v>
      </c>
      <c r="C11938" s="16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5">
        <v>2013</v>
      </c>
      <c r="C11939" s="16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5">
        <v>2013</v>
      </c>
      <c r="C11940" s="16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5">
        <v>2013</v>
      </c>
      <c r="C11941" s="16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5">
        <v>2013</v>
      </c>
      <c r="C11942" s="16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5">
        <v>2013</v>
      </c>
      <c r="C11943" s="16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5">
        <v>2013</v>
      </c>
      <c r="C11944" s="16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5">
        <v>2013</v>
      </c>
      <c r="C11945" s="16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5">
        <v>2013</v>
      </c>
      <c r="C11946" s="16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5">
        <v>2013</v>
      </c>
      <c r="C11947" s="16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5">
        <v>2013</v>
      </c>
      <c r="C11948" s="16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5">
        <v>2013</v>
      </c>
      <c r="C11949" s="16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5">
        <v>2013</v>
      </c>
      <c r="C11950" s="16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5">
        <v>2013</v>
      </c>
      <c r="C11951" s="16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5">
        <v>2013</v>
      </c>
      <c r="C11952" s="16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5">
        <v>2013</v>
      </c>
      <c r="C11953" s="16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5">
        <v>2013</v>
      </c>
      <c r="C11954" s="16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5">
        <v>2013</v>
      </c>
      <c r="C11955" s="16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5">
        <v>2013</v>
      </c>
      <c r="C11956" s="16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5">
        <v>2013</v>
      </c>
      <c r="C11957" s="16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5">
        <v>2013</v>
      </c>
      <c r="C11958" s="16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5">
        <v>2013</v>
      </c>
      <c r="C11959" s="16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5">
        <v>2013</v>
      </c>
      <c r="C11960" s="16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5">
        <v>2013</v>
      </c>
      <c r="C11961" s="16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5">
        <v>2013</v>
      </c>
      <c r="C11962" s="16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5">
        <v>2013</v>
      </c>
      <c r="C11963" s="16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5">
        <v>2013</v>
      </c>
      <c r="C11964" s="16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5">
        <v>2013</v>
      </c>
      <c r="C11965" s="16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5">
        <v>2013</v>
      </c>
      <c r="C11966" s="16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5">
        <v>2013</v>
      </c>
      <c r="C11967" s="16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5">
        <v>2013</v>
      </c>
      <c r="C11968" s="16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5">
        <v>2013</v>
      </c>
      <c r="C11969" s="16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5">
        <v>2013</v>
      </c>
      <c r="C11970" s="16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5">
        <v>2013</v>
      </c>
      <c r="C11971" s="16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5">
        <v>2013</v>
      </c>
      <c r="C11972" s="16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5">
        <v>2013</v>
      </c>
      <c r="C11973" s="16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5">
        <v>2013</v>
      </c>
      <c r="C11974" s="16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5">
        <v>2013</v>
      </c>
      <c r="C11975" s="16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5">
        <v>2013</v>
      </c>
      <c r="C11976" s="16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5">
        <v>2013</v>
      </c>
      <c r="C11977" s="16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5">
        <v>2013</v>
      </c>
      <c r="C11978" s="16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5">
        <v>2013</v>
      </c>
      <c r="C11979" s="16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5">
        <v>2013</v>
      </c>
      <c r="C11980" s="16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5">
        <v>2013</v>
      </c>
      <c r="C11981" s="16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5">
        <v>2013</v>
      </c>
      <c r="C11982" s="16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5">
        <v>2013</v>
      </c>
      <c r="C11983" s="16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5">
        <v>2013</v>
      </c>
      <c r="C11984" s="16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5">
        <v>2013</v>
      </c>
      <c r="C11985" s="16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5">
        <v>2013</v>
      </c>
      <c r="C11986" s="16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5">
        <v>2013</v>
      </c>
      <c r="C11987" s="16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5">
        <v>2013</v>
      </c>
      <c r="C11988" s="16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5">
        <v>2013</v>
      </c>
      <c r="C11989" s="16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5">
        <v>2013</v>
      </c>
      <c r="C11990" s="16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5">
        <v>2013</v>
      </c>
      <c r="C11991" s="16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5">
        <v>2013</v>
      </c>
      <c r="C11992" s="16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5">
        <v>2013</v>
      </c>
      <c r="C11993" s="16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5">
        <v>2013</v>
      </c>
      <c r="C11994" s="16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5">
        <v>2013</v>
      </c>
      <c r="C11995" s="16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5">
        <v>2013</v>
      </c>
      <c r="C11996" s="16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5">
        <v>2013</v>
      </c>
      <c r="C11997" s="16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5">
        <v>2013</v>
      </c>
      <c r="C11998" s="16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5">
        <v>2013</v>
      </c>
      <c r="C11999" s="16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5">
        <v>2013</v>
      </c>
      <c r="C12000" s="16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5">
        <v>2013</v>
      </c>
      <c r="C12001" s="16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5">
        <v>2013</v>
      </c>
      <c r="C12002" s="16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5">
        <v>2013</v>
      </c>
      <c r="C12003" s="16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5">
        <v>2013</v>
      </c>
      <c r="C12004" s="16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5">
        <v>2013</v>
      </c>
      <c r="C12005" s="16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5">
        <v>2013</v>
      </c>
      <c r="C12006" s="16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5">
        <v>2013</v>
      </c>
      <c r="C12007" s="16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5">
        <v>2013</v>
      </c>
      <c r="C12008" s="16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5">
        <v>2013</v>
      </c>
      <c r="C12009" s="16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5">
        <v>2013</v>
      </c>
      <c r="C12010" s="16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5">
        <v>2013</v>
      </c>
      <c r="C12011" s="16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5">
        <v>2013</v>
      </c>
      <c r="C12012" s="16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5">
        <v>2013</v>
      </c>
      <c r="C12013" s="16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5">
        <v>2013</v>
      </c>
      <c r="C12014" s="16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5">
        <v>2013</v>
      </c>
      <c r="C12015" s="16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5">
        <v>2013</v>
      </c>
      <c r="C12016" s="16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5">
        <v>2013</v>
      </c>
      <c r="C12017" s="16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5">
        <v>2013</v>
      </c>
      <c r="C12018" s="16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5">
        <v>2013</v>
      </c>
      <c r="C12019" s="16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5">
        <v>2013</v>
      </c>
      <c r="C12020" s="16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5">
        <v>2013</v>
      </c>
      <c r="C12021" s="16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5">
        <v>2013</v>
      </c>
      <c r="C12022" s="16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5">
        <v>2013</v>
      </c>
      <c r="C12023" s="16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5">
        <v>2013</v>
      </c>
      <c r="C12024" s="16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5">
        <v>2013</v>
      </c>
      <c r="C12025" s="16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5">
        <v>2013</v>
      </c>
      <c r="C12026" s="16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5">
        <v>2013</v>
      </c>
      <c r="C12027" s="16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5">
        <v>2013</v>
      </c>
      <c r="C12028" s="16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5">
        <v>2013</v>
      </c>
      <c r="C12029" s="16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5">
        <v>2013</v>
      </c>
      <c r="C12030" s="16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5">
        <v>2013</v>
      </c>
      <c r="C12031" s="16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5">
        <v>2013</v>
      </c>
      <c r="C12032" s="16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5">
        <v>2013</v>
      </c>
      <c r="C12033" s="16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5">
        <v>2013</v>
      </c>
      <c r="C12034" s="16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5">
        <v>2013</v>
      </c>
      <c r="C12035" s="16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5">
        <v>2013</v>
      </c>
      <c r="C12036" s="16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5">
        <v>2013</v>
      </c>
      <c r="C12037" s="16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5">
        <v>2013</v>
      </c>
      <c r="C12038" s="16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5">
        <v>2013</v>
      </c>
      <c r="C12039" s="16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5">
        <v>2013</v>
      </c>
      <c r="C12040" s="16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5">
        <v>2013</v>
      </c>
      <c r="C12041" s="16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5">
        <v>2013</v>
      </c>
      <c r="C12042" s="16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5">
        <v>2013</v>
      </c>
      <c r="C12043" s="16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5">
        <v>2013</v>
      </c>
      <c r="C12044" s="16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5">
        <v>2013</v>
      </c>
      <c r="C12045" s="16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5">
        <v>2013</v>
      </c>
      <c r="C12046" s="16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5">
        <v>2013</v>
      </c>
      <c r="C12047" s="16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5">
        <v>2013</v>
      </c>
      <c r="C12048" s="16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5">
        <v>2013</v>
      </c>
      <c r="C12049" s="16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5">
        <v>2013</v>
      </c>
      <c r="C12050" s="16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5">
        <v>2013</v>
      </c>
      <c r="C12051" s="16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5">
        <v>2013</v>
      </c>
      <c r="C12052" s="16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5">
        <v>2013</v>
      </c>
      <c r="C12053" s="16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5">
        <v>2013</v>
      </c>
      <c r="C12054" s="16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5">
        <v>2013</v>
      </c>
      <c r="C12055" s="16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5">
        <v>2013</v>
      </c>
      <c r="C12056" s="16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5">
        <v>2013</v>
      </c>
      <c r="C12057" s="16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5">
        <v>2013</v>
      </c>
      <c r="C12058" s="16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5">
        <v>2013</v>
      </c>
      <c r="C12059" s="16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5">
        <v>2013</v>
      </c>
      <c r="C12060" s="16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5">
        <v>2013</v>
      </c>
      <c r="C12061" s="16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5">
        <v>2013</v>
      </c>
      <c r="C12062" s="16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5">
        <v>2013</v>
      </c>
      <c r="C12063" s="16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5">
        <v>2013</v>
      </c>
      <c r="C12064" s="16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5">
        <v>2013</v>
      </c>
      <c r="C12065" s="16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5">
        <v>2013</v>
      </c>
      <c r="C12066" s="16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5">
        <v>2013</v>
      </c>
      <c r="C12067" s="16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5">
        <v>2013</v>
      </c>
      <c r="C12068" s="16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5">
        <v>2013</v>
      </c>
      <c r="C12069" s="16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5">
        <v>2013</v>
      </c>
      <c r="C12070" s="16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5">
        <v>2013</v>
      </c>
      <c r="C12071" s="16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5">
        <v>2013</v>
      </c>
      <c r="C12072" s="16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5">
        <v>2013</v>
      </c>
      <c r="C12073" s="16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5">
        <v>2013</v>
      </c>
      <c r="C12074" s="16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5">
        <v>2013</v>
      </c>
      <c r="C12075" s="16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5">
        <v>2013</v>
      </c>
      <c r="C12076" s="16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5">
        <v>2013</v>
      </c>
      <c r="C12077" s="16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5">
        <v>2013</v>
      </c>
      <c r="C12078" s="16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5">
        <v>2013</v>
      </c>
      <c r="C12079" s="16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5">
        <v>2013</v>
      </c>
      <c r="C12080" s="16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5">
        <v>2013</v>
      </c>
      <c r="C12081" s="16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5">
        <v>2013</v>
      </c>
      <c r="C12082" s="16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5">
        <v>2013</v>
      </c>
      <c r="C12083" s="16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5">
        <v>2013</v>
      </c>
      <c r="C12084" s="16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5">
        <v>2013</v>
      </c>
      <c r="C12085" s="16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5">
        <v>2013</v>
      </c>
      <c r="C12086" s="16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5">
        <v>2013</v>
      </c>
      <c r="C12087" s="16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5">
        <v>2013</v>
      </c>
      <c r="C12088" s="16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5">
        <v>2013</v>
      </c>
      <c r="C12089" s="16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5">
        <v>2013</v>
      </c>
      <c r="C12090" s="16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5">
        <v>2013</v>
      </c>
      <c r="C12091" s="16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5">
        <v>2013</v>
      </c>
      <c r="C12092" s="16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5">
        <v>2013</v>
      </c>
      <c r="C12093" s="16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5">
        <v>2013</v>
      </c>
      <c r="C12094" s="16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5">
        <v>2013</v>
      </c>
      <c r="C12095" s="16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5">
        <v>2013</v>
      </c>
      <c r="C12096" s="16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5">
        <v>2013</v>
      </c>
      <c r="C12097" s="16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5">
        <v>2013</v>
      </c>
      <c r="C12098" s="16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5">
        <v>2013</v>
      </c>
      <c r="C12099" s="16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5">
        <v>2013</v>
      </c>
      <c r="C12100" s="16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5">
        <v>2013</v>
      </c>
      <c r="C12101" s="16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5">
        <v>2013</v>
      </c>
      <c r="C12102" s="16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5">
        <v>2013</v>
      </c>
      <c r="C12103" s="16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5">
        <v>2013</v>
      </c>
      <c r="C12104" s="16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5">
        <v>2013</v>
      </c>
      <c r="C12105" s="16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5">
        <v>2013</v>
      </c>
      <c r="C12106" s="16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5">
        <v>2013</v>
      </c>
      <c r="C12107" s="16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5">
        <v>2013</v>
      </c>
      <c r="C12108" s="16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5">
        <v>2013</v>
      </c>
      <c r="C12109" s="16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5">
        <v>2013</v>
      </c>
      <c r="C12110" s="16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5">
        <v>2013</v>
      </c>
      <c r="C12111" s="16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5">
        <v>2013</v>
      </c>
      <c r="C12112" s="16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5">
        <v>2013</v>
      </c>
      <c r="C12113" s="16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5">
        <v>2013</v>
      </c>
      <c r="C12114" s="16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5">
        <v>2013</v>
      </c>
      <c r="C12115" s="16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5">
        <v>2013</v>
      </c>
      <c r="C12116" s="16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5">
        <v>2013</v>
      </c>
      <c r="C12117" s="16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5">
        <v>2013</v>
      </c>
      <c r="C12118" s="16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5">
        <v>2013</v>
      </c>
      <c r="C12119" s="16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5">
        <v>2013</v>
      </c>
      <c r="C12120" s="16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5">
        <v>2013</v>
      </c>
      <c r="C12121" s="16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5">
        <v>2013</v>
      </c>
      <c r="C12122" s="16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5">
        <v>2013</v>
      </c>
      <c r="C12123" s="16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5">
        <v>2013</v>
      </c>
      <c r="C12124" s="16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5">
        <v>2013</v>
      </c>
      <c r="C12125" s="16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5">
        <v>2013</v>
      </c>
      <c r="C12126" s="16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5">
        <v>2013</v>
      </c>
      <c r="C12127" s="16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5">
        <v>2013</v>
      </c>
      <c r="C12128" s="16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5">
        <v>2013</v>
      </c>
      <c r="C12129" s="16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5">
        <v>2013</v>
      </c>
      <c r="C12130" s="16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5">
        <v>2013</v>
      </c>
      <c r="C12131" s="16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5">
        <v>2013</v>
      </c>
      <c r="C12132" s="16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5">
        <v>2013</v>
      </c>
      <c r="C12133" s="16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5">
        <v>2013</v>
      </c>
      <c r="C12134" s="16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5">
        <v>2013</v>
      </c>
      <c r="C12135" s="16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5">
        <v>2013</v>
      </c>
      <c r="C12136" s="16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5">
        <v>2013</v>
      </c>
      <c r="C12137" s="16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5">
        <v>2013</v>
      </c>
      <c r="C12138" s="16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5">
        <v>2013</v>
      </c>
      <c r="C12139" s="16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5">
        <v>2013</v>
      </c>
      <c r="C12140" s="16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5">
        <v>2013</v>
      </c>
      <c r="C12141" s="16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5">
        <v>2013</v>
      </c>
      <c r="C12142" s="16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5">
        <v>2013</v>
      </c>
      <c r="C12143" s="16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5">
        <v>2013</v>
      </c>
      <c r="C12144" s="16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5">
        <v>2013</v>
      </c>
      <c r="C12145" s="16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5">
        <v>2013</v>
      </c>
      <c r="C12146" s="16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5">
        <v>2013</v>
      </c>
      <c r="C12147" s="16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5">
        <v>2013</v>
      </c>
      <c r="C12148" s="16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5">
        <v>2013</v>
      </c>
      <c r="C12149" s="16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5">
        <v>2013</v>
      </c>
      <c r="C12150" s="16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5">
        <v>2013</v>
      </c>
      <c r="C12151" s="16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5">
        <v>2013</v>
      </c>
      <c r="C12152" s="16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5">
        <v>2013</v>
      </c>
      <c r="C12153" s="16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5">
        <v>2013</v>
      </c>
      <c r="C12154" s="16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5">
        <v>2013</v>
      </c>
      <c r="C12155" s="16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5">
        <v>2013</v>
      </c>
      <c r="C12156" s="16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5">
        <v>2013</v>
      </c>
      <c r="C12157" s="16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5">
        <v>2013</v>
      </c>
      <c r="C12158" s="16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5">
        <v>2013</v>
      </c>
      <c r="C12159" s="16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5">
        <v>2013</v>
      </c>
      <c r="C12160" s="16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5">
        <v>2013</v>
      </c>
      <c r="C12161" s="16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5">
        <v>2013</v>
      </c>
      <c r="C12162" s="16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5">
        <v>2013</v>
      </c>
      <c r="C12163" s="16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5">
        <v>2013</v>
      </c>
      <c r="C12164" s="16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5">
        <v>2013</v>
      </c>
      <c r="C12165" s="16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5">
        <v>2013</v>
      </c>
      <c r="C12166" s="16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5">
        <v>2013</v>
      </c>
      <c r="C12167" s="16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5">
        <v>2013</v>
      </c>
      <c r="C12168" s="16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5">
        <v>2013</v>
      </c>
      <c r="C12169" s="16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5">
        <v>2013</v>
      </c>
      <c r="C12170" s="16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5">
        <v>2013</v>
      </c>
      <c r="C12171" s="16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5">
        <v>2013</v>
      </c>
      <c r="C12172" s="16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5">
        <v>2013</v>
      </c>
      <c r="C12173" s="16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5">
        <v>2013</v>
      </c>
      <c r="C12174" s="16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5">
        <v>2013</v>
      </c>
      <c r="C12175" s="16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5">
        <v>2013</v>
      </c>
      <c r="C12176" s="16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5">
        <v>2013</v>
      </c>
      <c r="C12177" s="16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5">
        <v>2013</v>
      </c>
      <c r="C12178" s="16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5">
        <v>2013</v>
      </c>
      <c r="C12179" s="16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5">
        <v>2013</v>
      </c>
      <c r="C12180" s="16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5">
        <v>2013</v>
      </c>
      <c r="C12181" s="16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5">
        <v>2013</v>
      </c>
      <c r="C12182" s="16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5">
        <v>2013</v>
      </c>
      <c r="C12183" s="16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5">
        <v>2013</v>
      </c>
      <c r="C12184" s="16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5">
        <v>2013</v>
      </c>
      <c r="C12185" s="16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5">
        <v>2013</v>
      </c>
      <c r="C12186" s="16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5">
        <v>2013</v>
      </c>
      <c r="C12187" s="16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5">
        <v>2013</v>
      </c>
      <c r="C12188" s="16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5">
        <v>2013</v>
      </c>
      <c r="C12189" s="16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5">
        <v>2013</v>
      </c>
      <c r="C12190" s="16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5">
        <v>2013</v>
      </c>
      <c r="C12191" s="16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5">
        <v>2013</v>
      </c>
      <c r="C12192" s="16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5">
        <v>2013</v>
      </c>
      <c r="C12193" s="16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5">
        <v>2013</v>
      </c>
      <c r="C12194" s="16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5">
        <v>2013</v>
      </c>
      <c r="C12195" s="16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5">
        <v>2013</v>
      </c>
      <c r="C12196" s="16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5">
        <v>2013</v>
      </c>
      <c r="C12197" s="16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5">
        <v>2013</v>
      </c>
      <c r="C12198" s="16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5">
        <v>2013</v>
      </c>
      <c r="C12199" s="16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5">
        <v>2013</v>
      </c>
      <c r="C12200" s="16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5">
        <v>2013</v>
      </c>
      <c r="C12201" s="16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5">
        <v>2013</v>
      </c>
      <c r="C12202" s="16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5">
        <v>2013</v>
      </c>
      <c r="C12203" s="16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5">
        <v>2013</v>
      </c>
      <c r="C12204" s="16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5">
        <v>2013</v>
      </c>
      <c r="C12205" s="16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5">
        <v>2013</v>
      </c>
      <c r="C12206" s="16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5">
        <v>2013</v>
      </c>
      <c r="C12207" s="16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5">
        <v>2013</v>
      </c>
      <c r="C12208" s="16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5">
        <v>2013</v>
      </c>
      <c r="C12209" s="16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5">
        <v>2013</v>
      </c>
      <c r="C12210" s="16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5">
        <v>2013</v>
      </c>
      <c r="C12211" s="16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5">
        <v>2013</v>
      </c>
      <c r="C12212" s="16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5">
        <v>2013</v>
      </c>
      <c r="C12213" s="16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5">
        <v>2013</v>
      </c>
      <c r="C12214" s="16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5">
        <v>2013</v>
      </c>
      <c r="C12215" s="16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5">
        <v>2013</v>
      </c>
      <c r="C12216" s="16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5">
        <v>2013</v>
      </c>
      <c r="C12217" s="16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5">
        <v>2013</v>
      </c>
      <c r="C12218" s="16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5">
        <v>2013</v>
      </c>
      <c r="C12219" s="16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5">
        <v>2013</v>
      </c>
      <c r="C12220" s="16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5">
        <v>2013</v>
      </c>
      <c r="C12221" s="16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5">
        <v>2013</v>
      </c>
      <c r="C12222" s="16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5">
        <v>2013</v>
      </c>
      <c r="C12223" s="16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5">
        <v>2013</v>
      </c>
      <c r="C12224" s="16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5">
        <v>2013</v>
      </c>
      <c r="C12225" s="16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5">
        <v>2013</v>
      </c>
      <c r="C12226" s="16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5">
        <v>2013</v>
      </c>
      <c r="C12227" s="16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5">
        <v>2013</v>
      </c>
      <c r="C12228" s="16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5">
        <v>2013</v>
      </c>
      <c r="C12229" s="16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5">
        <v>2013</v>
      </c>
      <c r="C12230" s="16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5">
        <v>2013</v>
      </c>
      <c r="C12231" s="16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5">
        <v>2013</v>
      </c>
      <c r="C12232" s="16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5">
        <v>2013</v>
      </c>
      <c r="C12233" s="16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5">
        <v>2013</v>
      </c>
      <c r="C12234" s="16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5">
        <v>2013</v>
      </c>
      <c r="C12235" s="16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5">
        <v>2013</v>
      </c>
      <c r="C12236" s="16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5">
        <v>2013</v>
      </c>
      <c r="C12237" s="16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5">
        <v>2013</v>
      </c>
      <c r="C12238" s="16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5">
        <v>2013</v>
      </c>
      <c r="C12239" s="16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5">
        <v>2013</v>
      </c>
      <c r="C12240" s="16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5">
        <v>2013</v>
      </c>
      <c r="C12241" s="16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5">
        <v>2013</v>
      </c>
      <c r="C12242" s="16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5">
        <v>2013</v>
      </c>
      <c r="C12243" s="16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5">
        <v>2013</v>
      </c>
      <c r="C12244" s="16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5">
        <v>2013</v>
      </c>
      <c r="C12245" s="16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5">
        <v>2013</v>
      </c>
      <c r="C12246" s="16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5">
        <v>2013</v>
      </c>
      <c r="C12247" s="16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5">
        <v>2013</v>
      </c>
      <c r="C12248" s="16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5">
        <v>2013</v>
      </c>
      <c r="C12249" s="16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5">
        <v>2013</v>
      </c>
      <c r="C12250" s="16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5">
        <v>2013</v>
      </c>
      <c r="C12251" s="16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5">
        <v>2013</v>
      </c>
      <c r="C12252" s="16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5">
        <v>2013</v>
      </c>
      <c r="C12253" s="16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5">
        <v>2013</v>
      </c>
      <c r="C12254" s="16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5">
        <v>2013</v>
      </c>
      <c r="C12255" s="16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5">
        <v>2013</v>
      </c>
      <c r="C12256" s="16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5">
        <v>2013</v>
      </c>
      <c r="C12257" s="16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5">
        <v>2013</v>
      </c>
      <c r="C12258" s="16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5">
        <v>2013</v>
      </c>
      <c r="C12259" s="16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5">
        <v>2013</v>
      </c>
      <c r="C12260" s="16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5">
        <v>2013</v>
      </c>
      <c r="C12261" s="16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5">
        <v>2013</v>
      </c>
      <c r="C12262" s="16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5">
        <v>2013</v>
      </c>
      <c r="C12263" s="16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5">
        <v>2013</v>
      </c>
      <c r="C12264" s="16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5">
        <v>2013</v>
      </c>
      <c r="C12265" s="16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5">
        <v>2013</v>
      </c>
      <c r="C12266" s="16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5">
        <v>2013</v>
      </c>
      <c r="C12267" s="16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5">
        <v>2013</v>
      </c>
      <c r="C12268" s="16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5">
        <v>2013</v>
      </c>
      <c r="C12269" s="16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5">
        <v>2013</v>
      </c>
      <c r="C12270" s="16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5">
        <v>2013</v>
      </c>
      <c r="C12271" s="16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5">
        <v>2013</v>
      </c>
      <c r="C12272" s="16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5">
        <v>2013</v>
      </c>
      <c r="C12273" s="16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5">
        <v>2013</v>
      </c>
      <c r="C12274" s="16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5">
        <v>2013</v>
      </c>
      <c r="C12275" s="16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5">
        <v>2013</v>
      </c>
      <c r="C12276" s="16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5">
        <v>2013</v>
      </c>
      <c r="C12277" s="16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5">
        <v>2013</v>
      </c>
      <c r="C12278" s="16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5">
        <v>2013</v>
      </c>
      <c r="C12279" s="16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5">
        <v>2013</v>
      </c>
      <c r="C12280" s="16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5">
        <v>2013</v>
      </c>
      <c r="C12281" s="16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5">
        <v>2013</v>
      </c>
      <c r="C12282" s="16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5">
        <v>2013</v>
      </c>
      <c r="C12283" s="16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5">
        <v>2013</v>
      </c>
      <c r="C12284" s="16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5">
        <v>2013</v>
      </c>
      <c r="C12285" s="16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5">
        <v>2013</v>
      </c>
      <c r="C12286" s="16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5">
        <v>2013</v>
      </c>
      <c r="C12287" s="16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5">
        <v>2013</v>
      </c>
      <c r="C12288" s="16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5">
        <v>2013</v>
      </c>
      <c r="C12289" s="16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5">
        <v>2013</v>
      </c>
      <c r="C12290" s="16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5">
        <v>2013</v>
      </c>
      <c r="C12291" s="16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5">
        <v>2013</v>
      </c>
      <c r="C12292" s="16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5">
        <v>2013</v>
      </c>
      <c r="C12293" s="16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5">
        <v>2013</v>
      </c>
      <c r="C12294" s="16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5">
        <v>2013</v>
      </c>
      <c r="C12295" s="16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5">
        <v>2013</v>
      </c>
      <c r="C12296" s="16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5">
        <v>2013</v>
      </c>
      <c r="C12297" s="16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5">
        <v>2013</v>
      </c>
      <c r="C12298" s="16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5">
        <v>2013</v>
      </c>
      <c r="C12299" s="16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5">
        <v>2013</v>
      </c>
      <c r="C12300" s="16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5">
        <v>2013</v>
      </c>
      <c r="C12301" s="16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5">
        <v>2013</v>
      </c>
      <c r="C12302" s="16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5">
        <v>2013</v>
      </c>
      <c r="C12303" s="16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5">
        <v>2013</v>
      </c>
      <c r="C12304" s="16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5">
        <v>2013</v>
      </c>
      <c r="C12305" s="16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5">
        <v>2013</v>
      </c>
      <c r="C12306" s="16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5">
        <v>2013</v>
      </c>
      <c r="C12307" s="16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5">
        <v>2013</v>
      </c>
      <c r="C12308" s="16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5">
        <v>2013</v>
      </c>
      <c r="C12309" s="16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5">
        <v>2013</v>
      </c>
      <c r="C12310" s="16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5">
        <v>2013</v>
      </c>
      <c r="C12311" s="16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5">
        <v>2013</v>
      </c>
      <c r="C12312" s="16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5">
        <v>2013</v>
      </c>
      <c r="C12313" s="16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5">
        <v>2013</v>
      </c>
      <c r="C12314" s="16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5">
        <v>2013</v>
      </c>
      <c r="C12315" s="16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5">
        <v>2013</v>
      </c>
      <c r="C12316" s="16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5">
        <v>2013</v>
      </c>
      <c r="C12317" s="16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5">
        <v>2013</v>
      </c>
      <c r="C12318" s="16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5">
        <v>2013</v>
      </c>
      <c r="C12319" s="16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5">
        <v>2013</v>
      </c>
      <c r="C12320" s="16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5">
        <v>2013</v>
      </c>
      <c r="C12321" s="16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5">
        <v>2013</v>
      </c>
      <c r="C12322" s="16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5">
        <v>2013</v>
      </c>
      <c r="C12323" s="16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5">
        <v>2013</v>
      </c>
      <c r="C12324" s="16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5">
        <v>2013</v>
      </c>
      <c r="C12325" s="16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5">
        <v>2013</v>
      </c>
      <c r="C12326" s="16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5">
        <v>2013</v>
      </c>
      <c r="C12327" s="16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5">
        <v>2013</v>
      </c>
      <c r="C12328" s="16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5">
        <v>2013</v>
      </c>
      <c r="C12329" s="16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5">
        <v>2013</v>
      </c>
      <c r="C12330" s="16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5">
        <v>2013</v>
      </c>
      <c r="C12331" s="16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5">
        <v>2013</v>
      </c>
      <c r="C12332" s="16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5">
        <v>2013</v>
      </c>
      <c r="C12333" s="16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5">
        <v>2013</v>
      </c>
      <c r="C12334" s="16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5">
        <v>2013</v>
      </c>
      <c r="C12335" s="16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5">
        <v>2013</v>
      </c>
      <c r="C12336" s="16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5">
        <v>2013</v>
      </c>
      <c r="C12337" s="16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5">
        <v>2013</v>
      </c>
      <c r="C12338" s="16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5">
        <v>2013</v>
      </c>
      <c r="C12339" s="16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5">
        <v>2013</v>
      </c>
      <c r="C12340" s="16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5">
        <v>2013</v>
      </c>
      <c r="C12341" s="16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5">
        <v>2013</v>
      </c>
      <c r="C12342" s="16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5">
        <v>2013</v>
      </c>
      <c r="C12343" s="16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5">
        <v>2013</v>
      </c>
      <c r="C12344" s="16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5">
        <v>2013</v>
      </c>
      <c r="C12345" s="16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5">
        <v>2013</v>
      </c>
      <c r="C12346" s="16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5">
        <v>2013</v>
      </c>
      <c r="C12347" s="16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5">
        <v>2013</v>
      </c>
      <c r="C12348" s="16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5">
        <v>2013</v>
      </c>
      <c r="C12349" s="16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5">
        <v>2013</v>
      </c>
      <c r="C12350" s="16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5">
        <v>2013</v>
      </c>
      <c r="C12351" s="16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5">
        <v>2013</v>
      </c>
      <c r="C12352" s="16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5">
        <v>2013</v>
      </c>
      <c r="C12353" s="16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5">
        <v>2013</v>
      </c>
      <c r="C12354" s="16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5">
        <v>2013</v>
      </c>
      <c r="C12355" s="16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5">
        <v>2013</v>
      </c>
      <c r="C12356" s="16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5">
        <v>2013</v>
      </c>
      <c r="C12357" s="16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5">
        <v>2013</v>
      </c>
      <c r="C12358" s="16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5">
        <v>2013</v>
      </c>
      <c r="C12359" s="16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5">
        <v>2013</v>
      </c>
      <c r="C12360" s="16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5">
        <v>2013</v>
      </c>
      <c r="C12361" s="16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5">
        <v>2013</v>
      </c>
      <c r="C12362" s="16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5">
        <v>2013</v>
      </c>
      <c r="C12363" s="16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5">
        <v>2013</v>
      </c>
      <c r="C12364" s="16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5">
        <v>2013</v>
      </c>
      <c r="C12365" s="16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5">
        <v>2013</v>
      </c>
      <c r="C12366" s="16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5">
        <v>2013</v>
      </c>
      <c r="C12367" s="16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5">
        <v>2013</v>
      </c>
      <c r="C12368" s="16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5">
        <v>2013</v>
      </c>
      <c r="C12369" s="16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5">
        <v>2013</v>
      </c>
      <c r="C12370" s="16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5">
        <v>2013</v>
      </c>
      <c r="C12371" s="16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5">
        <v>2013</v>
      </c>
      <c r="C12372" s="16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5">
        <v>2013</v>
      </c>
      <c r="C12373" s="16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5">
        <v>2013</v>
      </c>
      <c r="C12374" s="16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5">
        <v>2013</v>
      </c>
      <c r="C12375" s="16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5">
        <v>2013</v>
      </c>
      <c r="C12376" s="16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5">
        <v>2013</v>
      </c>
      <c r="C12377" s="16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5">
        <v>2013</v>
      </c>
      <c r="C12378" s="16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5">
        <v>2013</v>
      </c>
      <c r="C12379" s="16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5">
        <v>2013</v>
      </c>
      <c r="C12380" s="16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5">
        <v>2013</v>
      </c>
      <c r="C12381" s="16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5">
        <v>2013</v>
      </c>
      <c r="C12382" s="16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5">
        <v>2013</v>
      </c>
      <c r="C12383" s="16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5">
        <v>2013</v>
      </c>
      <c r="C12384" s="16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5">
        <v>2013</v>
      </c>
      <c r="C12385" s="16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5">
        <v>2013</v>
      </c>
      <c r="C12386" s="16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5">
        <v>2013</v>
      </c>
      <c r="C12387" s="16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5">
        <v>2013</v>
      </c>
      <c r="C12388" s="16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5">
        <v>2013</v>
      </c>
      <c r="C12389" s="16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5">
        <v>2013</v>
      </c>
      <c r="C12390" s="16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5">
        <v>2013</v>
      </c>
      <c r="C12391" s="16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5">
        <v>2013</v>
      </c>
      <c r="C12392" s="16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5">
        <v>2013</v>
      </c>
      <c r="C12393" s="16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5">
        <v>2013</v>
      </c>
      <c r="C12394" s="16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5">
        <v>2013</v>
      </c>
      <c r="C12395" s="16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5">
        <v>2013</v>
      </c>
      <c r="C12396" s="16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5">
        <v>2013</v>
      </c>
      <c r="C12397" s="16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5">
        <v>2013</v>
      </c>
      <c r="C12398" s="16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5">
        <v>2013</v>
      </c>
      <c r="C12399" s="16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5">
        <v>2013</v>
      </c>
      <c r="C12400" s="16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5">
        <v>2013</v>
      </c>
      <c r="C12401" s="16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5">
        <v>2013</v>
      </c>
      <c r="C12402" s="16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5">
        <v>2013</v>
      </c>
      <c r="C12403" s="16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5">
        <v>2013</v>
      </c>
      <c r="C12404" s="16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5">
        <v>2013</v>
      </c>
      <c r="C12405" s="16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5">
        <v>2013</v>
      </c>
      <c r="C12406" s="16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5">
        <v>2013</v>
      </c>
      <c r="C12407" s="16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5">
        <v>2013</v>
      </c>
      <c r="C12408" s="16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5">
        <v>2013</v>
      </c>
      <c r="C12409" s="16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5">
        <v>2013</v>
      </c>
      <c r="C12410" s="16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5">
        <v>2013</v>
      </c>
      <c r="C12411" s="16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5">
        <v>2013</v>
      </c>
      <c r="C12412" s="16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5">
        <v>2013</v>
      </c>
      <c r="C12413" s="16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5">
        <v>2013</v>
      </c>
      <c r="C12414" s="16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5">
        <v>2013</v>
      </c>
      <c r="C12415" s="16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5">
        <v>2013</v>
      </c>
      <c r="C12416" s="16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5">
        <v>2013</v>
      </c>
      <c r="C12417" s="16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5">
        <v>2013</v>
      </c>
      <c r="C12418" s="16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5">
        <v>2013</v>
      </c>
      <c r="C12419" s="16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5">
        <v>2013</v>
      </c>
      <c r="C12420" s="16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5">
        <v>2013</v>
      </c>
      <c r="C12421" s="16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5">
        <v>2013</v>
      </c>
      <c r="C12422" s="16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5">
        <v>2013</v>
      </c>
      <c r="C12423" s="16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5">
        <v>2013</v>
      </c>
      <c r="C12424" s="16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5">
        <v>2013</v>
      </c>
      <c r="C12425" s="16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5">
        <v>2013</v>
      </c>
      <c r="C12426" s="16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5">
        <v>2013</v>
      </c>
      <c r="C12427" s="16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5">
        <v>2013</v>
      </c>
      <c r="C12428" s="16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5">
        <v>2013</v>
      </c>
      <c r="C12429" s="16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5">
        <v>2013</v>
      </c>
      <c r="C12430" s="16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5">
        <v>2013</v>
      </c>
      <c r="C12431" s="16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5">
        <v>2013</v>
      </c>
      <c r="C12432" s="16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5">
        <v>2013</v>
      </c>
      <c r="C12433" s="16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5">
        <v>2013</v>
      </c>
      <c r="C12434" s="16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5">
        <v>2013</v>
      </c>
      <c r="C12435" s="16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5">
        <v>2013</v>
      </c>
      <c r="C12436" s="16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5">
        <v>2013</v>
      </c>
      <c r="C12437" s="16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5">
        <v>2013</v>
      </c>
      <c r="C12438" s="16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5">
        <v>2013</v>
      </c>
      <c r="C12439" s="16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5">
        <v>2013</v>
      </c>
      <c r="C12440" s="16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5">
        <v>2013</v>
      </c>
      <c r="C12441" s="16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5">
        <v>2013</v>
      </c>
      <c r="C12442" s="16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5">
        <v>2013</v>
      </c>
      <c r="C12443" s="16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5">
        <v>2013</v>
      </c>
      <c r="C12444" s="16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5">
        <v>2013</v>
      </c>
      <c r="C12445" s="16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5">
        <v>2013</v>
      </c>
      <c r="C12446" s="16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5">
        <v>2013</v>
      </c>
      <c r="C12447" s="16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5">
        <v>2013</v>
      </c>
      <c r="C12448" s="16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5">
        <v>2013</v>
      </c>
      <c r="C12449" s="16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5">
        <v>2013</v>
      </c>
      <c r="C12450" s="16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5">
        <v>2013</v>
      </c>
      <c r="C12451" s="16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5">
        <v>2013</v>
      </c>
      <c r="C12452" s="16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5">
        <v>2013</v>
      </c>
      <c r="C12453" s="16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5">
        <v>2013</v>
      </c>
      <c r="C12454" s="16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5">
        <v>2013</v>
      </c>
      <c r="C12455" s="16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5">
        <v>2013</v>
      </c>
      <c r="C12456" s="16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5">
        <v>2013</v>
      </c>
      <c r="C12457" s="16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5">
        <v>2013</v>
      </c>
      <c r="C12458" s="16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5">
        <v>2013</v>
      </c>
      <c r="C12459" s="16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5">
        <v>2013</v>
      </c>
      <c r="C12460" s="16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5">
        <v>2013</v>
      </c>
      <c r="C12461" s="16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5">
        <v>2013</v>
      </c>
      <c r="C12462" s="16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5">
        <v>2013</v>
      </c>
      <c r="C12463" s="16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5">
        <v>2013</v>
      </c>
      <c r="C12464" s="16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5">
        <v>2013</v>
      </c>
      <c r="C12465" s="16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5">
        <v>2013</v>
      </c>
      <c r="C12466" s="16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5">
        <v>2013</v>
      </c>
      <c r="C12467" s="16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5">
        <v>2013</v>
      </c>
      <c r="C12468" s="16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5">
        <v>2013</v>
      </c>
      <c r="C12469" s="16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5">
        <v>2013</v>
      </c>
      <c r="C12470" s="16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5">
        <v>2013</v>
      </c>
      <c r="C12471" s="16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5">
        <v>2013</v>
      </c>
      <c r="C12472" s="16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5">
        <v>2013</v>
      </c>
      <c r="C12473" s="16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5">
        <v>2013</v>
      </c>
      <c r="C12474" s="16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5">
        <v>2013</v>
      </c>
      <c r="C12475" s="16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5">
        <v>2013</v>
      </c>
      <c r="C12476" s="16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5">
        <v>2013</v>
      </c>
      <c r="C12477" s="16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5">
        <v>2013</v>
      </c>
      <c r="C12478" s="16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5">
        <v>2013</v>
      </c>
      <c r="C12479" s="16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5">
        <v>2013</v>
      </c>
      <c r="C12480" s="16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5">
        <v>2013</v>
      </c>
      <c r="C12481" s="16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5">
        <v>2013</v>
      </c>
      <c r="C12482" s="16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5">
        <v>2013</v>
      </c>
      <c r="C12483" s="16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5">
        <v>2013</v>
      </c>
      <c r="C12484" s="16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5">
        <v>2013</v>
      </c>
      <c r="C12485" s="16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5">
        <v>2013</v>
      </c>
      <c r="C12486" s="16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5">
        <v>2013</v>
      </c>
      <c r="C12487" s="16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5">
        <v>2013</v>
      </c>
      <c r="C12488" s="16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5">
        <v>2013</v>
      </c>
      <c r="C12489" s="16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5">
        <v>2013</v>
      </c>
      <c r="C12490" s="16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5">
        <v>2013</v>
      </c>
      <c r="C12491" s="16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5">
        <v>2013</v>
      </c>
      <c r="C12492" s="16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5">
        <v>2013</v>
      </c>
      <c r="C12493" s="16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5">
        <v>2013</v>
      </c>
      <c r="C12494" s="16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5">
        <v>2013</v>
      </c>
      <c r="C12495" s="16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5">
        <v>2013</v>
      </c>
      <c r="C12496" s="16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5">
        <v>2013</v>
      </c>
      <c r="C12497" s="16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5">
        <v>2013</v>
      </c>
      <c r="C12498" s="16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5">
        <v>2013</v>
      </c>
      <c r="C12499" s="16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5">
        <v>2013</v>
      </c>
      <c r="C12500" s="16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5">
        <v>2013</v>
      </c>
      <c r="C12501" s="16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5">
        <v>2013</v>
      </c>
      <c r="C12502" s="16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5">
        <v>2013</v>
      </c>
      <c r="C12503" s="16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5">
        <v>2013</v>
      </c>
      <c r="C12504" s="16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5">
        <v>2013</v>
      </c>
      <c r="C12505" s="16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5">
        <v>2013</v>
      </c>
      <c r="C12506" s="16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5">
        <v>2013</v>
      </c>
      <c r="C12507" s="16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5">
        <v>2013</v>
      </c>
      <c r="C12508" s="16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5">
        <v>2013</v>
      </c>
      <c r="C12509" s="16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5">
        <v>2013</v>
      </c>
      <c r="C12510" s="16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5">
        <v>2013</v>
      </c>
      <c r="C12511" s="16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5">
        <v>2013</v>
      </c>
      <c r="C12512" s="16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5">
        <v>2013</v>
      </c>
      <c r="C12513" s="16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5">
        <v>2013</v>
      </c>
      <c r="C12514" s="16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5">
        <v>2013</v>
      </c>
      <c r="C12515" s="16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5">
        <v>2013</v>
      </c>
      <c r="C12516" s="16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5">
        <v>2013</v>
      </c>
      <c r="C12517" s="16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5">
        <v>2013</v>
      </c>
      <c r="C12518" s="16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5">
        <v>2013</v>
      </c>
      <c r="C12519" s="16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5">
        <v>2013</v>
      </c>
      <c r="C12520" s="16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5">
        <v>2013</v>
      </c>
      <c r="C12521" s="16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5">
        <v>2013</v>
      </c>
      <c r="C12522" s="16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5">
        <v>2013</v>
      </c>
      <c r="C12523" s="16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5">
        <v>2013</v>
      </c>
      <c r="C12524" s="16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5">
        <v>2013</v>
      </c>
      <c r="C12525" s="16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5">
        <v>2013</v>
      </c>
      <c r="C12526" s="16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5">
        <v>2013</v>
      </c>
      <c r="C12527" s="16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5">
        <v>2013</v>
      </c>
      <c r="C12528" s="16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5">
        <v>2013</v>
      </c>
      <c r="C12529" s="16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5">
        <v>2013</v>
      </c>
      <c r="C12530" s="16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5">
        <v>2013</v>
      </c>
      <c r="C12531" s="16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5">
        <v>2013</v>
      </c>
      <c r="C12532" s="16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5">
        <v>2013</v>
      </c>
      <c r="C12533" s="16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5">
        <v>2013</v>
      </c>
      <c r="C12534" s="16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5">
        <v>2013</v>
      </c>
      <c r="C12535" s="16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5">
        <v>2013</v>
      </c>
      <c r="C12536" s="16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5">
        <v>2013</v>
      </c>
      <c r="C12537" s="16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5">
        <v>2013</v>
      </c>
      <c r="C12538" s="16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5">
        <v>2013</v>
      </c>
      <c r="C12539" s="16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5">
        <v>2013</v>
      </c>
      <c r="C12540" s="16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5">
        <v>2013</v>
      </c>
      <c r="C12541" s="16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5">
        <v>2013</v>
      </c>
      <c r="C12542" s="16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5">
        <v>2013</v>
      </c>
      <c r="C12543" s="16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5">
        <v>2013</v>
      </c>
      <c r="C12544" s="16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5">
        <v>2013</v>
      </c>
      <c r="C12545" s="16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5">
        <v>2013</v>
      </c>
      <c r="C12546" s="16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5">
        <v>2013</v>
      </c>
      <c r="C12547" s="16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5">
        <v>2013</v>
      </c>
      <c r="C12548" s="16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5">
        <v>2013</v>
      </c>
      <c r="C12549" s="16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5">
        <v>2013</v>
      </c>
      <c r="C12550" s="16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5">
        <v>2013</v>
      </c>
      <c r="C12551" s="16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5">
        <v>2013</v>
      </c>
      <c r="C12552" s="16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5">
        <v>2013</v>
      </c>
      <c r="C12553" s="16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5">
        <v>2013</v>
      </c>
      <c r="C12554" s="16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5">
        <v>2013</v>
      </c>
      <c r="C12555" s="16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5">
        <v>2013</v>
      </c>
      <c r="C12556" s="16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5">
        <v>2013</v>
      </c>
      <c r="C12557" s="16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5">
        <v>2013</v>
      </c>
      <c r="C12558" s="16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5">
        <v>2013</v>
      </c>
      <c r="C12559" s="16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5">
        <v>2013</v>
      </c>
      <c r="C12560" s="16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5">
        <v>2013</v>
      </c>
      <c r="C12561" s="16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5">
        <v>2013</v>
      </c>
      <c r="C12562" s="16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5">
        <v>2013</v>
      </c>
      <c r="C12563" s="16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5">
        <v>2013</v>
      </c>
      <c r="C12564" s="16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5">
        <v>2013</v>
      </c>
      <c r="C12565" s="16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5">
        <v>2013</v>
      </c>
      <c r="C12566" s="16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5">
        <v>2013</v>
      </c>
      <c r="C12567" s="16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5">
        <v>2013</v>
      </c>
      <c r="C12568" s="16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5">
        <v>2013</v>
      </c>
      <c r="C12569" s="16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5">
        <v>2013</v>
      </c>
      <c r="C12570" s="16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5">
        <v>2013</v>
      </c>
      <c r="C12571" s="16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5">
        <v>2013</v>
      </c>
      <c r="C12572" s="16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5">
        <v>2013</v>
      </c>
      <c r="C12573" s="16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5">
        <v>2013</v>
      </c>
      <c r="C12574" s="16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5">
        <v>2013</v>
      </c>
      <c r="C12575" s="16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5">
        <v>2013</v>
      </c>
      <c r="C12576" s="16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5">
        <v>2013</v>
      </c>
      <c r="C12577" s="16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5">
        <v>2013</v>
      </c>
      <c r="C12578" s="16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5">
        <v>2013</v>
      </c>
      <c r="C12579" s="16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5">
        <v>2013</v>
      </c>
      <c r="C12580" s="16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5">
        <v>2013</v>
      </c>
      <c r="C12581" s="16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5">
        <v>2013</v>
      </c>
      <c r="C12582" s="16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5">
        <v>2013</v>
      </c>
      <c r="C12583" s="16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5">
        <v>2013</v>
      </c>
      <c r="C12584" s="16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5">
        <v>2013</v>
      </c>
      <c r="C12585" s="16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5">
        <v>2013</v>
      </c>
      <c r="C12586" s="16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5">
        <v>2013</v>
      </c>
      <c r="C12587" s="16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5">
        <v>2013</v>
      </c>
      <c r="C12588" s="16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5">
        <v>2013</v>
      </c>
      <c r="C12589" s="16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5">
        <v>2013</v>
      </c>
      <c r="C12590" s="16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5">
        <v>2013</v>
      </c>
      <c r="C12591" s="16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5">
        <v>2013</v>
      </c>
      <c r="C12592" s="16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5">
        <v>2013</v>
      </c>
      <c r="C12593" s="16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5">
        <v>2013</v>
      </c>
      <c r="C12594" s="16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5">
        <v>2013</v>
      </c>
      <c r="C12595" s="16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5">
        <v>2013</v>
      </c>
      <c r="C12596" s="16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5">
        <v>2013</v>
      </c>
      <c r="C12597" s="16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5">
        <v>2013</v>
      </c>
      <c r="C12598" s="16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5">
        <v>2013</v>
      </c>
      <c r="C12599" s="16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5">
        <v>2013</v>
      </c>
      <c r="C12600" s="16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5">
        <v>2013</v>
      </c>
      <c r="C12601" s="16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5">
        <v>2013</v>
      </c>
      <c r="C12602" s="16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5">
        <v>2013</v>
      </c>
      <c r="C12603" s="16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5">
        <v>2013</v>
      </c>
      <c r="C12604" s="16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5">
        <v>2013</v>
      </c>
      <c r="C12605" s="16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5">
        <v>2013</v>
      </c>
      <c r="C12606" s="16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5">
        <v>2013</v>
      </c>
      <c r="C12607" s="16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5">
        <v>2013</v>
      </c>
      <c r="C12608" s="16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5">
        <v>2013</v>
      </c>
      <c r="C12609" s="16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5">
        <v>2013</v>
      </c>
      <c r="C12610" s="16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5">
        <v>2013</v>
      </c>
      <c r="C12611" s="16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5">
        <v>2013</v>
      </c>
      <c r="C12612" s="16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5">
        <v>2013</v>
      </c>
      <c r="C12613" s="16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5">
        <v>2013</v>
      </c>
      <c r="C12614" s="16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5">
        <v>2013</v>
      </c>
      <c r="C12615" s="16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5">
        <v>2013</v>
      </c>
      <c r="C12616" s="16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5">
        <v>2013</v>
      </c>
      <c r="C12617" s="16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5">
        <v>2013</v>
      </c>
      <c r="C12618" s="16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5">
        <v>2013</v>
      </c>
      <c r="C12619" s="16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5">
        <v>2013</v>
      </c>
      <c r="C12620" s="16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5">
        <v>2013</v>
      </c>
      <c r="C12621" s="16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5">
        <v>2013</v>
      </c>
      <c r="C12622" s="16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5">
        <v>2013</v>
      </c>
      <c r="C12623" s="16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5">
        <v>2013</v>
      </c>
      <c r="C12624" s="16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5">
        <v>2013</v>
      </c>
      <c r="C12625" s="16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5">
        <v>2013</v>
      </c>
      <c r="C12626" s="16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5">
        <v>2013</v>
      </c>
      <c r="C12627" s="16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5">
        <v>2013</v>
      </c>
      <c r="C12628" s="16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5">
        <v>2013</v>
      </c>
      <c r="C12629" s="16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5">
        <v>2013</v>
      </c>
      <c r="C12630" s="16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5">
        <v>2013</v>
      </c>
      <c r="C12631" s="16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5">
        <v>2013</v>
      </c>
      <c r="C12632" s="16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5">
        <v>2013</v>
      </c>
      <c r="C12633" s="16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5">
        <v>2013</v>
      </c>
      <c r="C12634" s="16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5">
        <v>2013</v>
      </c>
      <c r="C12635" s="16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5">
        <v>2013</v>
      </c>
      <c r="C12636" s="16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5">
        <v>2013</v>
      </c>
      <c r="C12637" s="16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5">
        <v>2013</v>
      </c>
      <c r="C12638" s="16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5">
        <v>2013</v>
      </c>
      <c r="C12639" s="16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5">
        <v>2013</v>
      </c>
      <c r="C12640" s="16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5">
        <v>2013</v>
      </c>
      <c r="C12641" s="16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5">
        <v>2013</v>
      </c>
      <c r="C12642" s="16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5">
        <v>2013</v>
      </c>
      <c r="C12643" s="16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5">
        <v>2013</v>
      </c>
      <c r="C12644" s="16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5">
        <v>2013</v>
      </c>
      <c r="C12645" s="16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5">
        <v>2013</v>
      </c>
      <c r="C12646" s="16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5">
        <v>2013</v>
      </c>
      <c r="C12647" s="16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5">
        <v>2013</v>
      </c>
      <c r="C12648" s="16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5">
        <v>2013</v>
      </c>
      <c r="C12649" s="16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5">
        <v>2013</v>
      </c>
      <c r="C12650" s="16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5">
        <v>2013</v>
      </c>
      <c r="C12651" s="16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5">
        <v>2013</v>
      </c>
      <c r="C12652" s="16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5">
        <v>2013</v>
      </c>
      <c r="C12653" s="16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5">
        <v>2013</v>
      </c>
      <c r="C12654" s="16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5">
        <v>2013</v>
      </c>
      <c r="C12655" s="16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5">
        <v>2013</v>
      </c>
      <c r="C12656" s="16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5">
        <v>2013</v>
      </c>
      <c r="C12657" s="16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5">
        <v>2013</v>
      </c>
      <c r="C12658" s="16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5">
        <v>2013</v>
      </c>
      <c r="C12659" s="16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5">
        <v>2013</v>
      </c>
      <c r="C12660" s="16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5">
        <v>2013</v>
      </c>
      <c r="C12661" s="16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5">
        <v>2013</v>
      </c>
      <c r="C12662" s="16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5">
        <v>2013</v>
      </c>
      <c r="C12663" s="16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5">
        <v>2013</v>
      </c>
      <c r="C12664" s="16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5">
        <v>2013</v>
      </c>
      <c r="C12665" s="16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5">
        <v>2013</v>
      </c>
      <c r="C12666" s="16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5">
        <v>2013</v>
      </c>
      <c r="C12667" s="16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5">
        <v>2013</v>
      </c>
      <c r="C12668" s="16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5">
        <v>2013</v>
      </c>
      <c r="C12669" s="16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5">
        <v>2013</v>
      </c>
      <c r="C12670" s="16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5">
        <v>2013</v>
      </c>
      <c r="C12671" s="16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5">
        <v>2013</v>
      </c>
      <c r="C12672" s="16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5">
        <v>2013</v>
      </c>
      <c r="C12673" s="16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5">
        <v>2013</v>
      </c>
      <c r="C12674" s="16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5">
        <v>2013</v>
      </c>
      <c r="C12675" s="16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5">
        <v>2013</v>
      </c>
      <c r="C12676" s="16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5">
        <v>2013</v>
      </c>
      <c r="C12677" s="16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5">
        <v>2013</v>
      </c>
      <c r="C12678" s="16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5">
        <v>2013</v>
      </c>
      <c r="C12679" s="16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5">
        <v>2013</v>
      </c>
      <c r="C12680" s="16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5">
        <v>2013</v>
      </c>
      <c r="C12681" s="16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5">
        <v>2013</v>
      </c>
      <c r="C12682" s="16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5">
        <v>2013</v>
      </c>
      <c r="C12683" s="16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5">
        <v>2013</v>
      </c>
      <c r="C12684" s="16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5">
        <v>2013</v>
      </c>
      <c r="C12685" s="16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5">
        <v>2013</v>
      </c>
      <c r="C12686" s="16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5">
        <v>2013</v>
      </c>
      <c r="C12687" s="16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5">
        <v>2013</v>
      </c>
      <c r="C12688" s="16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5">
        <v>2013</v>
      </c>
      <c r="C12689" s="16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5">
        <v>2013</v>
      </c>
      <c r="C12690" s="16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5">
        <v>2013</v>
      </c>
      <c r="C12691" s="16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5">
        <v>2013</v>
      </c>
      <c r="C12692" s="16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5">
        <v>2013</v>
      </c>
      <c r="C12693" s="16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5">
        <v>2013</v>
      </c>
      <c r="C12694" s="16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5">
        <v>2013</v>
      </c>
      <c r="C12695" s="16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5">
        <v>2013</v>
      </c>
      <c r="C12696" s="16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5">
        <v>2013</v>
      </c>
      <c r="C12697" s="16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5">
        <v>2013</v>
      </c>
      <c r="C12698" s="16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5">
        <v>2013</v>
      </c>
      <c r="C12699" s="16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5">
        <v>2013</v>
      </c>
      <c r="C12700" s="16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5">
        <v>2013</v>
      </c>
      <c r="C12701" s="16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5">
        <v>2013</v>
      </c>
      <c r="C12702" s="16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5">
        <v>2013</v>
      </c>
      <c r="C12703" s="16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5">
        <v>2013</v>
      </c>
      <c r="C12704" s="16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5">
        <v>2013</v>
      </c>
      <c r="C12705" s="16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5">
        <v>2013</v>
      </c>
      <c r="C12706" s="16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5">
        <v>2013</v>
      </c>
      <c r="C12707" s="16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5">
        <v>2013</v>
      </c>
      <c r="C12708" s="16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5">
        <v>2013</v>
      </c>
      <c r="C12709" s="16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5">
        <v>2013</v>
      </c>
      <c r="C12710" s="16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5">
        <v>2013</v>
      </c>
      <c r="C12711" s="16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5">
        <v>2013</v>
      </c>
      <c r="C12712" s="16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5">
        <v>2013</v>
      </c>
      <c r="C12713" s="16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5">
        <v>2013</v>
      </c>
      <c r="C12714" s="16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5">
        <v>2013</v>
      </c>
      <c r="C12715" s="16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5">
        <v>2013</v>
      </c>
      <c r="C12716" s="16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5">
        <v>2013</v>
      </c>
      <c r="C12717" s="16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5">
        <v>2013</v>
      </c>
      <c r="C12718" s="16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5">
        <v>2013</v>
      </c>
      <c r="C12719" s="16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5">
        <v>2013</v>
      </c>
      <c r="C12720" s="16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5">
        <v>2013</v>
      </c>
      <c r="C12721" s="16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5">
        <v>2013</v>
      </c>
      <c r="C12722" s="16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5">
        <v>2013</v>
      </c>
      <c r="C12723" s="16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5">
        <v>2013</v>
      </c>
      <c r="C12724" s="16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5">
        <v>2013</v>
      </c>
      <c r="C12725" s="16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5">
        <v>2013</v>
      </c>
      <c r="C12726" s="16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5">
        <v>2013</v>
      </c>
      <c r="C12727" s="16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5">
        <v>2013</v>
      </c>
      <c r="C12728" s="16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5">
        <v>2013</v>
      </c>
      <c r="C12729" s="16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5">
        <v>2013</v>
      </c>
      <c r="C12730" s="16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5">
        <v>2013</v>
      </c>
      <c r="C12731" s="16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5">
        <v>2013</v>
      </c>
      <c r="C12732" s="16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5">
        <v>2013</v>
      </c>
      <c r="C12733" s="16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5">
        <v>2013</v>
      </c>
      <c r="C12734" s="16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5">
        <v>2013</v>
      </c>
      <c r="C12735" s="16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5">
        <v>2013</v>
      </c>
      <c r="C12736" s="16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5">
        <v>2013</v>
      </c>
      <c r="C12737" s="16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5">
        <v>2013</v>
      </c>
      <c r="C12738" s="16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5">
        <v>2013</v>
      </c>
      <c r="C12739" s="16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5">
        <v>2013</v>
      </c>
      <c r="C12740" s="16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5">
        <v>2013</v>
      </c>
      <c r="C12741" s="16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5">
        <v>2013</v>
      </c>
      <c r="C12742" s="16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5">
        <v>2013</v>
      </c>
      <c r="C12743" s="16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5">
        <v>2013</v>
      </c>
      <c r="C12744" s="16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5">
        <v>2013</v>
      </c>
      <c r="C12745" s="16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5">
        <v>2013</v>
      </c>
      <c r="C12746" s="16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5">
        <v>2013</v>
      </c>
      <c r="C12747" s="16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5">
        <v>2013</v>
      </c>
      <c r="C12748" s="16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5">
        <v>2013</v>
      </c>
      <c r="C12749" s="16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5">
        <v>2013</v>
      </c>
      <c r="C12750" s="16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5">
        <v>2013</v>
      </c>
      <c r="C12751" s="16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5">
        <v>2013</v>
      </c>
      <c r="C12752" s="16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5">
        <v>2013</v>
      </c>
      <c r="C12753" s="16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5">
        <v>2013</v>
      </c>
      <c r="C12754" s="16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5">
        <v>2013</v>
      </c>
      <c r="C12755" s="16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5">
        <v>2013</v>
      </c>
      <c r="C12756" s="16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5">
        <v>2013</v>
      </c>
      <c r="C12757" s="16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5">
        <v>2013</v>
      </c>
      <c r="C12758" s="16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5">
        <v>2013</v>
      </c>
      <c r="C12759" s="16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5">
        <v>2013</v>
      </c>
      <c r="C12760" s="16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5">
        <v>2013</v>
      </c>
      <c r="C12761" s="16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5">
        <v>2013</v>
      </c>
      <c r="C12762" s="16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5">
        <v>2013</v>
      </c>
      <c r="C12763" s="16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5">
        <v>2013</v>
      </c>
      <c r="C12764" s="16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5">
        <v>2013</v>
      </c>
      <c r="C12765" s="16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5">
        <v>2013</v>
      </c>
      <c r="C12766" s="16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5">
        <v>2013</v>
      </c>
      <c r="C12767" s="16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5">
        <v>2013</v>
      </c>
      <c r="C12768" s="16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5">
        <v>2013</v>
      </c>
      <c r="C12769" s="16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5">
        <v>2013</v>
      </c>
      <c r="C12770" s="16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5">
        <v>2013</v>
      </c>
      <c r="C12771" s="16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5">
        <v>2013</v>
      </c>
      <c r="C12772" s="16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5">
        <v>2013</v>
      </c>
      <c r="C12773" s="16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5">
        <v>2013</v>
      </c>
      <c r="C12774" s="16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5">
        <v>2013</v>
      </c>
      <c r="C12775" s="16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5">
        <v>2013</v>
      </c>
      <c r="C12776" s="16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5">
        <v>2013</v>
      </c>
      <c r="C12777" s="16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5">
        <v>2013</v>
      </c>
      <c r="C12778" s="16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5">
        <v>2013</v>
      </c>
      <c r="C12779" s="16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5">
        <v>2013</v>
      </c>
      <c r="C12780" s="16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5">
        <v>2013</v>
      </c>
      <c r="C12781" s="16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5">
        <v>2013</v>
      </c>
      <c r="C12782" s="16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5">
        <v>2013</v>
      </c>
      <c r="C12783" s="16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5">
        <v>2013</v>
      </c>
      <c r="C12784" s="16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5">
        <v>2013</v>
      </c>
      <c r="C12785" s="16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5">
        <v>2013</v>
      </c>
      <c r="C12786" s="16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5">
        <v>2013</v>
      </c>
      <c r="C12787" s="16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5">
        <v>2013</v>
      </c>
      <c r="C12788" s="16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5">
        <v>2013</v>
      </c>
      <c r="C12789" s="16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5">
        <v>2013</v>
      </c>
      <c r="C12790" s="16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5">
        <v>2013</v>
      </c>
      <c r="C12791" s="16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5">
        <v>2013</v>
      </c>
      <c r="C12792" s="16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5">
        <v>2013</v>
      </c>
      <c r="C12793" s="16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5">
        <v>2013</v>
      </c>
      <c r="C12794" s="16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5">
        <v>2013</v>
      </c>
      <c r="C12795" s="16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5">
        <v>2013</v>
      </c>
      <c r="C12796" s="16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5">
        <v>2013</v>
      </c>
      <c r="C12797" s="16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5">
        <v>2013</v>
      </c>
      <c r="C12798" s="16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5">
        <v>2013</v>
      </c>
      <c r="C12799" s="16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5">
        <v>2013</v>
      </c>
      <c r="C12800" s="16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5">
        <v>2013</v>
      </c>
      <c r="C12801" s="16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5">
        <v>2013</v>
      </c>
      <c r="C12802" s="16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5">
        <v>2013</v>
      </c>
      <c r="C12803" s="16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5">
        <v>2013</v>
      </c>
      <c r="C12804" s="16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5">
        <v>2013</v>
      </c>
      <c r="C12805" s="16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5">
        <v>2013</v>
      </c>
      <c r="C12806" s="16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5">
        <v>2013</v>
      </c>
      <c r="C12807" s="16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5">
        <v>2013</v>
      </c>
      <c r="C12808" s="16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5">
        <v>2013</v>
      </c>
      <c r="C12809" s="16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5">
        <v>2013</v>
      </c>
      <c r="C12810" s="16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5">
        <v>2013</v>
      </c>
      <c r="C12811" s="16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5">
        <v>2013</v>
      </c>
      <c r="C12812" s="16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5">
        <v>2013</v>
      </c>
      <c r="C12813" s="16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5">
        <v>2013</v>
      </c>
      <c r="C12814" s="16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5">
        <v>2013</v>
      </c>
      <c r="C12815" s="16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5">
        <v>2013</v>
      </c>
      <c r="C12816" s="16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5">
        <v>2013</v>
      </c>
      <c r="C12817" s="16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5">
        <v>2013</v>
      </c>
      <c r="C12818" s="16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5">
        <v>2013</v>
      </c>
      <c r="C12819" s="16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5">
        <v>2013</v>
      </c>
      <c r="C12820" s="16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5">
        <v>2013</v>
      </c>
      <c r="C12821" s="16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5">
        <v>2013</v>
      </c>
      <c r="C12822" s="16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5">
        <v>2013</v>
      </c>
      <c r="C12823" s="16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5">
        <v>2013</v>
      </c>
      <c r="C12824" s="16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5">
        <v>2013</v>
      </c>
      <c r="C12825" s="16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5">
        <v>2013</v>
      </c>
      <c r="C12826" s="16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5">
        <v>2013</v>
      </c>
      <c r="C12827" s="16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5">
        <v>2013</v>
      </c>
      <c r="C12828" s="16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5">
        <v>2013</v>
      </c>
      <c r="C12829" s="16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5">
        <v>2013</v>
      </c>
      <c r="C12830" s="16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5">
        <v>2013</v>
      </c>
      <c r="C12831" s="16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5">
        <v>2013</v>
      </c>
      <c r="C12832" s="16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5">
        <v>2013</v>
      </c>
      <c r="C12833" s="16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5">
        <v>2013</v>
      </c>
      <c r="C12834" s="16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5">
        <v>2013</v>
      </c>
      <c r="C12835" s="16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5">
        <v>2013</v>
      </c>
      <c r="C12836" s="16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5">
        <v>2013</v>
      </c>
      <c r="C12837" s="16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5">
        <v>2013</v>
      </c>
      <c r="C12838" s="16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5">
        <v>2013</v>
      </c>
      <c r="C12839" s="16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5">
        <v>2013</v>
      </c>
      <c r="C12840" s="16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5">
        <v>2013</v>
      </c>
      <c r="C12841" s="16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5">
        <v>2013</v>
      </c>
      <c r="C12842" s="16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5">
        <v>2013</v>
      </c>
      <c r="C12843" s="16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5">
        <v>2013</v>
      </c>
      <c r="C12844" s="16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5">
        <v>2013</v>
      </c>
      <c r="C12845" s="16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5">
        <v>2013</v>
      </c>
      <c r="C12846" s="16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5">
        <v>2013</v>
      </c>
      <c r="C12847" s="16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5">
        <v>2013</v>
      </c>
      <c r="C12848" s="16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5">
        <v>2013</v>
      </c>
      <c r="C12849" s="16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5">
        <v>2013</v>
      </c>
      <c r="C12850" s="16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5">
        <v>2013</v>
      </c>
      <c r="C12851" s="16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5">
        <v>2013</v>
      </c>
      <c r="C12852" s="16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5">
        <v>2013</v>
      </c>
      <c r="C12853" s="16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5">
        <v>2013</v>
      </c>
      <c r="C12854" s="16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5">
        <v>2013</v>
      </c>
      <c r="C12855" s="16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5">
        <v>2013</v>
      </c>
      <c r="C12856" s="16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5">
        <v>2013</v>
      </c>
      <c r="C12857" s="16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5">
        <v>2013</v>
      </c>
      <c r="C12858" s="16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5">
        <v>2013</v>
      </c>
      <c r="C12859" s="16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5">
        <v>2013</v>
      </c>
      <c r="C12860" s="16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5">
        <v>2013</v>
      </c>
      <c r="C12861" s="16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5">
        <v>2013</v>
      </c>
      <c r="C12862" s="16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5">
        <v>2013</v>
      </c>
      <c r="C12863" s="16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5">
        <v>2013</v>
      </c>
      <c r="C12864" s="16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5">
        <v>2013</v>
      </c>
      <c r="C12865" s="16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5">
        <v>2013</v>
      </c>
      <c r="C12866" s="16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5">
        <v>2013</v>
      </c>
      <c r="C12867" s="16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5">
        <v>2013</v>
      </c>
      <c r="C12868" s="16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5">
        <v>2013</v>
      </c>
      <c r="C12869" s="16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5">
        <v>2013</v>
      </c>
      <c r="C12870" s="16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5">
        <v>2013</v>
      </c>
      <c r="C12871" s="16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5">
        <v>2013</v>
      </c>
      <c r="C12872" s="16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5">
        <v>2013</v>
      </c>
      <c r="C12873" s="16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5">
        <v>2013</v>
      </c>
      <c r="C12874" s="16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5">
        <v>2013</v>
      </c>
      <c r="C12875" s="16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5">
        <v>2013</v>
      </c>
      <c r="C12876" s="16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5">
        <v>2013</v>
      </c>
      <c r="C12877" s="16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5">
        <v>2013</v>
      </c>
      <c r="C12878" s="16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5">
        <v>2013</v>
      </c>
      <c r="C12879" s="16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5">
        <v>2013</v>
      </c>
      <c r="C12880" s="16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5">
        <v>2013</v>
      </c>
      <c r="C12881" s="16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5">
        <v>2013</v>
      </c>
      <c r="C12882" s="16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5">
        <v>2013</v>
      </c>
      <c r="C12883" s="16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5">
        <v>2013</v>
      </c>
      <c r="C12884" s="16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5">
        <v>2013</v>
      </c>
      <c r="C12885" s="16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5">
        <v>2013</v>
      </c>
      <c r="C12886" s="16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5">
        <v>2013</v>
      </c>
      <c r="C12887" s="16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5">
        <v>2013</v>
      </c>
      <c r="C12888" s="16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5">
        <v>2013</v>
      </c>
      <c r="C12889" s="16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5">
        <v>2013</v>
      </c>
      <c r="C12890" s="16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5">
        <v>2013</v>
      </c>
      <c r="C12891" s="16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5">
        <v>2013</v>
      </c>
      <c r="C12892" s="16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5">
        <v>2013</v>
      </c>
      <c r="C12893" s="16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5">
        <v>2013</v>
      </c>
      <c r="C12894" s="16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5">
        <v>2013</v>
      </c>
      <c r="C12895" s="16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5">
        <v>2013</v>
      </c>
      <c r="C12896" s="16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5">
        <v>2013</v>
      </c>
      <c r="C12897" s="16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5">
        <v>2013</v>
      </c>
      <c r="C12898" s="16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5">
        <v>2013</v>
      </c>
      <c r="C12899" s="16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5">
        <v>2013</v>
      </c>
      <c r="C12900" s="16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5">
        <v>2013</v>
      </c>
      <c r="C12901" s="16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5">
        <v>2013</v>
      </c>
      <c r="C12902" s="16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5">
        <v>2013</v>
      </c>
      <c r="C12903" s="16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5">
        <v>2013</v>
      </c>
      <c r="C12904" s="16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5">
        <v>2013</v>
      </c>
      <c r="C12905" s="16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5">
        <v>2013</v>
      </c>
      <c r="C12906" s="16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5">
        <v>2013</v>
      </c>
      <c r="C12907" s="16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5">
        <v>2013</v>
      </c>
      <c r="C12908" s="16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5">
        <v>2013</v>
      </c>
      <c r="C12909" s="16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5">
        <v>2013</v>
      </c>
      <c r="C12910" s="16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5">
        <v>2013</v>
      </c>
      <c r="C12911" s="16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5">
        <v>2013</v>
      </c>
      <c r="C12912" s="16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5">
        <v>2013</v>
      </c>
      <c r="C12913" s="16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5">
        <v>2013</v>
      </c>
      <c r="C12914" s="16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5">
        <v>2013</v>
      </c>
      <c r="C12915" s="16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5">
        <v>2013</v>
      </c>
      <c r="C12916" s="16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5">
        <v>2013</v>
      </c>
      <c r="C12917" s="16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5">
        <v>2013</v>
      </c>
      <c r="C12918" s="16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5">
        <v>2013</v>
      </c>
      <c r="C12919" s="16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5">
        <v>2013</v>
      </c>
      <c r="C12920" s="16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5">
        <v>2013</v>
      </c>
      <c r="C12921" s="16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5">
        <v>2013</v>
      </c>
      <c r="C12922" s="16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5">
        <v>2013</v>
      </c>
      <c r="C12923" s="16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5">
        <v>2013</v>
      </c>
      <c r="C12924" s="16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5">
        <v>2013</v>
      </c>
      <c r="C12925" s="16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5">
        <v>2013</v>
      </c>
      <c r="C12926" s="16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5">
        <v>2013</v>
      </c>
      <c r="C12927" s="16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5">
        <v>2013</v>
      </c>
      <c r="C12928" s="16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5">
        <v>2013</v>
      </c>
      <c r="C12929" s="16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5">
        <v>2013</v>
      </c>
      <c r="C12930" s="16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5">
        <v>2013</v>
      </c>
      <c r="C12931" s="16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5">
        <v>2013</v>
      </c>
      <c r="C12932" s="16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5">
        <v>2013</v>
      </c>
      <c r="C12933" s="16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5">
        <v>2013</v>
      </c>
      <c r="C12934" s="16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5">
        <v>2013</v>
      </c>
      <c r="C12935" s="16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5">
        <v>2013</v>
      </c>
      <c r="C12936" s="16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5">
        <v>2013</v>
      </c>
      <c r="C12937" s="16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5">
        <v>2013</v>
      </c>
      <c r="C12938" s="16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5">
        <v>2013</v>
      </c>
      <c r="C12939" s="16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5">
        <v>2013</v>
      </c>
      <c r="C12940" s="16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5">
        <v>2013</v>
      </c>
      <c r="C12941" s="16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5">
        <v>2013</v>
      </c>
      <c r="C12942" s="16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5">
        <v>2013</v>
      </c>
      <c r="C12943" s="16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5">
        <v>2013</v>
      </c>
      <c r="C12944" s="16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5">
        <v>2013</v>
      </c>
      <c r="C12945" s="16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5">
        <v>2013</v>
      </c>
      <c r="C12946" s="16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5">
        <v>2013</v>
      </c>
      <c r="C12947" s="16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5">
        <v>2013</v>
      </c>
      <c r="C12948" s="16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5">
        <v>2013</v>
      </c>
      <c r="C12949" s="16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5">
        <v>2013</v>
      </c>
      <c r="C12950" s="16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5">
        <v>2013</v>
      </c>
      <c r="C12951" s="16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5">
        <v>2013</v>
      </c>
      <c r="C12952" s="16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5">
        <v>2013</v>
      </c>
      <c r="C12953" s="16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5">
        <v>2013</v>
      </c>
      <c r="C12954" s="16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5">
        <v>2013</v>
      </c>
      <c r="C12955" s="16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5">
        <v>2013</v>
      </c>
      <c r="C12956" s="16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5">
        <v>2013</v>
      </c>
      <c r="C12957" s="16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5">
        <v>2013</v>
      </c>
      <c r="C12958" s="16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5">
        <v>2013</v>
      </c>
      <c r="C12959" s="16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5">
        <v>2013</v>
      </c>
      <c r="C12960" s="16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5">
        <v>2013</v>
      </c>
      <c r="C12961" s="16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5">
        <v>2013</v>
      </c>
      <c r="C12962" s="16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5">
        <v>2013</v>
      </c>
      <c r="C12963" s="16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5">
        <v>2013</v>
      </c>
      <c r="C12964" s="16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5">
        <v>2013</v>
      </c>
      <c r="C12965" s="16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5">
        <v>2013</v>
      </c>
      <c r="C12966" s="16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5">
        <v>2013</v>
      </c>
      <c r="C12967" s="16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5">
        <v>2013</v>
      </c>
      <c r="C12968" s="16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5">
        <v>2013</v>
      </c>
      <c r="C12969" s="16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5">
        <v>2013</v>
      </c>
      <c r="C12970" s="16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5">
        <v>2013</v>
      </c>
      <c r="C12971" s="16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5">
        <v>2013</v>
      </c>
      <c r="C12972" s="16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5">
        <v>2013</v>
      </c>
      <c r="C12973" s="16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5">
        <v>2013</v>
      </c>
      <c r="C12974" s="16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5">
        <v>2013</v>
      </c>
      <c r="C12975" s="16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5">
        <v>2013</v>
      </c>
      <c r="C12976" s="16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5">
        <v>2013</v>
      </c>
      <c r="C12977" s="16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5">
        <v>2013</v>
      </c>
      <c r="C12978" s="16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5">
        <v>2013</v>
      </c>
      <c r="C12979" s="16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5">
        <v>2013</v>
      </c>
      <c r="C12980" s="16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5">
        <v>2013</v>
      </c>
      <c r="C12981" s="16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5">
        <v>2013</v>
      </c>
      <c r="C12982" s="16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5">
        <v>2013</v>
      </c>
      <c r="C12983" s="16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5">
        <v>2013</v>
      </c>
      <c r="C12984" s="16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5">
        <v>2013</v>
      </c>
      <c r="C12985" s="16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5">
        <v>2013</v>
      </c>
      <c r="C12986" s="16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5">
        <v>2013</v>
      </c>
      <c r="C12987" s="16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5">
        <v>2013</v>
      </c>
      <c r="C12988" s="16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5">
        <v>2013</v>
      </c>
      <c r="C12989" s="16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5">
        <v>2013</v>
      </c>
      <c r="C12990" s="16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5">
        <v>2013</v>
      </c>
      <c r="C12991" s="16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5">
        <v>2013</v>
      </c>
      <c r="C12992" s="16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5">
        <v>2013</v>
      </c>
      <c r="C12993" s="16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5">
        <v>2013</v>
      </c>
      <c r="C12994" s="16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5">
        <v>2013</v>
      </c>
      <c r="C12995" s="16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5">
        <v>2013</v>
      </c>
      <c r="C12996" s="16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5">
        <v>2013</v>
      </c>
      <c r="C12997" s="16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5">
        <v>2013</v>
      </c>
      <c r="C12998" s="16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5">
        <v>2013</v>
      </c>
      <c r="C12999" s="16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5">
        <v>2013</v>
      </c>
      <c r="C13000" s="16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5">
        <v>2013</v>
      </c>
      <c r="C13001" s="16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5">
        <v>2013</v>
      </c>
      <c r="C13002" s="16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5">
        <v>2013</v>
      </c>
      <c r="C13003" s="16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5">
        <v>2013</v>
      </c>
      <c r="C13004" s="16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5">
        <v>2013</v>
      </c>
      <c r="C13005" s="16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5">
        <v>2013</v>
      </c>
      <c r="C13006" s="16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5">
        <v>2013</v>
      </c>
      <c r="C13007" s="16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5">
        <v>2013</v>
      </c>
      <c r="C13008" s="16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5">
        <v>2013</v>
      </c>
      <c r="C13009" s="16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5">
        <v>2013</v>
      </c>
      <c r="C13010" s="16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5">
        <v>2013</v>
      </c>
      <c r="C13011" s="16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5">
        <v>2013</v>
      </c>
      <c r="C13012" s="16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5">
        <v>2013</v>
      </c>
      <c r="C13013" s="16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5">
        <v>2013</v>
      </c>
      <c r="C13014" s="16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5">
        <v>2013</v>
      </c>
      <c r="C13015" s="16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5">
        <v>2013</v>
      </c>
      <c r="C13016" s="16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5">
        <v>2013</v>
      </c>
      <c r="C13017" s="16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5">
        <v>2013</v>
      </c>
      <c r="C13018" s="16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5">
        <v>2013</v>
      </c>
      <c r="C13019" s="16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5">
        <v>2013</v>
      </c>
      <c r="C13020" s="16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5">
        <v>2013</v>
      </c>
      <c r="C13021" s="16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5">
        <v>2013</v>
      </c>
      <c r="C13022" s="16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5">
        <v>2013</v>
      </c>
      <c r="C13023" s="16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5">
        <v>2013</v>
      </c>
      <c r="C13024" s="16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5">
        <v>2013</v>
      </c>
      <c r="C13025" s="16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5">
        <v>2013</v>
      </c>
      <c r="C13026" s="16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5">
        <v>2013</v>
      </c>
      <c r="C13027" s="16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5">
        <v>2013</v>
      </c>
      <c r="C13028" s="16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5">
        <v>2013</v>
      </c>
      <c r="C13029" s="16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5">
        <v>2013</v>
      </c>
      <c r="C13030" s="16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5">
        <v>2013</v>
      </c>
      <c r="C13031" s="16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5">
        <v>2013</v>
      </c>
      <c r="C13032" s="16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5">
        <v>2013</v>
      </c>
      <c r="C13033" s="16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5">
        <v>2013</v>
      </c>
      <c r="C13034" s="16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5">
        <v>2013</v>
      </c>
      <c r="C13035" s="16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5">
        <v>2013</v>
      </c>
      <c r="C13036" s="16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5">
        <v>2013</v>
      </c>
      <c r="C13037" s="16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5">
        <v>2013</v>
      </c>
      <c r="C13038" s="16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5">
        <v>2013</v>
      </c>
      <c r="C13039" s="16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5">
        <v>2013</v>
      </c>
      <c r="C13040" s="16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5">
        <v>2013</v>
      </c>
      <c r="C13041" s="16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5">
        <v>2013</v>
      </c>
      <c r="C13042" s="16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5">
        <v>2013</v>
      </c>
      <c r="C13043" s="16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5">
        <v>2013</v>
      </c>
      <c r="C13044" s="16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5">
        <v>2013</v>
      </c>
      <c r="C13045" s="16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5">
        <v>2013</v>
      </c>
      <c r="C13046" s="16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5">
        <v>2013</v>
      </c>
      <c r="C13047" s="16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5">
        <v>2013</v>
      </c>
      <c r="C13048" s="16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5">
        <v>2013</v>
      </c>
      <c r="C13049" s="16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5">
        <v>2013</v>
      </c>
      <c r="C13050" s="16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5">
        <v>2013</v>
      </c>
      <c r="C13051" s="16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5">
        <v>2013</v>
      </c>
      <c r="C13052" s="16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5">
        <v>2013</v>
      </c>
      <c r="C13053" s="16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5">
        <v>2013</v>
      </c>
      <c r="C13054" s="16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5">
        <v>2013</v>
      </c>
      <c r="C13055" s="16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5">
        <v>2013</v>
      </c>
      <c r="C13056" s="16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5">
        <v>2013</v>
      </c>
      <c r="C13057" s="16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5">
        <v>2013</v>
      </c>
      <c r="C13058" s="16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5">
        <v>2013</v>
      </c>
      <c r="C13059" s="16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5">
        <v>2013</v>
      </c>
      <c r="C13060" s="16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5">
        <v>2013</v>
      </c>
      <c r="C13061" s="16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5">
        <v>2013</v>
      </c>
      <c r="C13062" s="16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5">
        <v>2013</v>
      </c>
      <c r="C13063" s="16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5">
        <v>2013</v>
      </c>
      <c r="C13064" s="16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5">
        <v>2013</v>
      </c>
      <c r="C13065" s="16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5">
        <v>2013</v>
      </c>
      <c r="C13066" s="16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5">
        <v>2013</v>
      </c>
      <c r="C13067" s="16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5">
        <v>2013</v>
      </c>
      <c r="C13068" s="16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5">
        <v>2013</v>
      </c>
      <c r="C13069" s="16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5">
        <v>2013</v>
      </c>
      <c r="C13070" s="16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5">
        <v>2013</v>
      </c>
      <c r="C13071" s="16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5">
        <v>2013</v>
      </c>
      <c r="C13072" s="16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5">
        <v>2013</v>
      </c>
      <c r="C13073" s="16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5">
        <v>2013</v>
      </c>
      <c r="C13074" s="16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5">
        <v>2013</v>
      </c>
      <c r="C13075" s="16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5">
        <v>2013</v>
      </c>
      <c r="C13076" s="16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5">
        <v>2013</v>
      </c>
      <c r="C13077" s="16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5">
        <v>2013</v>
      </c>
      <c r="C13078" s="16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5">
        <v>2013</v>
      </c>
      <c r="C13079" s="16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5">
        <v>2013</v>
      </c>
      <c r="C13080" s="16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5">
        <v>2013</v>
      </c>
      <c r="C13081" s="16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5">
        <v>2013</v>
      </c>
      <c r="C13082" s="16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5">
        <v>2013</v>
      </c>
      <c r="C13083" s="16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5">
        <v>2013</v>
      </c>
      <c r="C13084" s="16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5">
        <v>2013</v>
      </c>
      <c r="C13085" s="16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5">
        <v>2013</v>
      </c>
      <c r="C13086" s="16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5">
        <v>2013</v>
      </c>
      <c r="C13087" s="16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5">
        <v>2013</v>
      </c>
      <c r="C13088" s="16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5">
        <v>2013</v>
      </c>
      <c r="C13089" s="16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5">
        <v>2013</v>
      </c>
      <c r="C13090" s="16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5">
        <v>2013</v>
      </c>
      <c r="C13091" s="16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5">
        <v>2013</v>
      </c>
      <c r="C13092" s="16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5">
        <v>2013</v>
      </c>
      <c r="C13093" s="16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5">
        <v>2013</v>
      </c>
      <c r="C13094" s="16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5">
        <v>2013</v>
      </c>
      <c r="C13095" s="16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5">
        <v>2013</v>
      </c>
      <c r="C13096" s="16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5">
        <v>2013</v>
      </c>
      <c r="C13097" s="16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5">
        <v>2013</v>
      </c>
      <c r="C13098" s="16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5">
        <v>2013</v>
      </c>
      <c r="C13099" s="16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5">
        <v>2013</v>
      </c>
      <c r="C13100" s="16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5">
        <v>2013</v>
      </c>
      <c r="C13101" s="16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5">
        <v>2013</v>
      </c>
      <c r="C13102" s="16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5">
        <v>2013</v>
      </c>
      <c r="C13103" s="16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5">
        <v>2013</v>
      </c>
      <c r="C13104" s="16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5">
        <v>2013</v>
      </c>
      <c r="C13105" s="16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5">
        <v>2013</v>
      </c>
      <c r="C13106" s="16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5">
        <v>2013</v>
      </c>
      <c r="C13107" s="16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5">
        <v>2013</v>
      </c>
      <c r="C13108" s="16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5">
        <v>2013</v>
      </c>
      <c r="C13109" s="16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5">
        <v>2013</v>
      </c>
      <c r="C13110" s="16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5">
        <v>2013</v>
      </c>
      <c r="C13111" s="16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5">
        <v>2013</v>
      </c>
      <c r="C13112" s="16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5">
        <v>2013</v>
      </c>
      <c r="C13113" s="16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5">
        <v>2013</v>
      </c>
      <c r="C13114" s="16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5">
        <v>2013</v>
      </c>
      <c r="C13115" s="16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5">
        <v>2013</v>
      </c>
      <c r="C13116" s="16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5">
        <v>2013</v>
      </c>
      <c r="C13117" s="16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5">
        <v>2013</v>
      </c>
      <c r="C13118" s="16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5">
        <v>2013</v>
      </c>
      <c r="C13119" s="16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5">
        <v>2013</v>
      </c>
      <c r="C13120" s="16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5">
        <v>2013</v>
      </c>
      <c r="C13121" s="16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5">
        <v>2013</v>
      </c>
      <c r="C13122" s="16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5">
        <v>2013</v>
      </c>
      <c r="C13123" s="16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5">
        <v>2013</v>
      </c>
      <c r="C13124" s="16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5">
        <v>2013</v>
      </c>
      <c r="C13125" s="16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5">
        <v>2013</v>
      </c>
      <c r="C13126" s="16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5">
        <v>2013</v>
      </c>
      <c r="C13127" s="16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5">
        <v>2013</v>
      </c>
      <c r="C13128" s="16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5">
        <v>2013</v>
      </c>
      <c r="C13129" s="16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5">
        <v>2013</v>
      </c>
      <c r="C13130" s="16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5">
        <v>2013</v>
      </c>
      <c r="C13131" s="16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5">
        <v>2013</v>
      </c>
      <c r="C13132" s="16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5">
        <v>2013</v>
      </c>
      <c r="C13133" s="16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5">
        <v>2013</v>
      </c>
      <c r="C13134" s="16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5">
        <v>2013</v>
      </c>
      <c r="C13135" s="16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5">
        <v>2013</v>
      </c>
      <c r="C13136" s="16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5">
        <v>2013</v>
      </c>
      <c r="C13137" s="16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5">
        <v>2013</v>
      </c>
      <c r="C13138" s="16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5">
        <v>2013</v>
      </c>
      <c r="C13139" s="16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5">
        <v>2013</v>
      </c>
      <c r="C13140" s="16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5">
        <v>2013</v>
      </c>
      <c r="C13141" s="16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5">
        <v>2013</v>
      </c>
      <c r="C13142" s="16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5">
        <v>2013</v>
      </c>
      <c r="C13143" s="16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5">
        <v>2013</v>
      </c>
      <c r="C13144" s="16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5">
        <v>2013</v>
      </c>
      <c r="C13145" s="16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5">
        <v>2013</v>
      </c>
      <c r="C13146" s="16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5">
        <v>2013</v>
      </c>
      <c r="C13147" s="16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5">
        <v>2013</v>
      </c>
      <c r="C13148" s="16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5">
        <v>2013</v>
      </c>
      <c r="C13149" s="16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5">
        <v>2013</v>
      </c>
      <c r="C13150" s="16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5">
        <v>2013</v>
      </c>
      <c r="C13151" s="16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5">
        <v>2013</v>
      </c>
      <c r="C13152" s="16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5">
        <v>2013</v>
      </c>
      <c r="C13153" s="16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5">
        <v>2013</v>
      </c>
      <c r="C13154" s="16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5">
        <v>2013</v>
      </c>
      <c r="C13155" s="16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5">
        <v>2013</v>
      </c>
      <c r="C13156" s="16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5">
        <v>2013</v>
      </c>
      <c r="C13157" s="16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5">
        <v>2013</v>
      </c>
      <c r="C13158" s="16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5">
        <v>2013</v>
      </c>
      <c r="C13159" s="16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5">
        <v>2013</v>
      </c>
      <c r="C13160" s="16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5">
        <v>2013</v>
      </c>
      <c r="C13161" s="16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5">
        <v>2013</v>
      </c>
      <c r="C13162" s="16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5">
        <v>2013</v>
      </c>
      <c r="C13163" s="16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5">
        <v>2013</v>
      </c>
      <c r="C13164" s="16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5">
        <v>2013</v>
      </c>
      <c r="C13165" s="16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5">
        <v>2013</v>
      </c>
      <c r="C13166" s="16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5">
        <v>2013</v>
      </c>
      <c r="C13167" s="16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5">
        <v>2013</v>
      </c>
      <c r="C13168" s="16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5">
        <v>2013</v>
      </c>
      <c r="C13169" s="16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5">
        <v>2013</v>
      </c>
      <c r="C13170" s="16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5">
        <v>2013</v>
      </c>
      <c r="C13171" s="16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5">
        <v>2013</v>
      </c>
      <c r="C13172" s="16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5">
        <v>2013</v>
      </c>
      <c r="C13173" s="16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5">
        <v>2013</v>
      </c>
      <c r="C13174" s="16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5">
        <v>2013</v>
      </c>
      <c r="C13175" s="16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5">
        <v>2013</v>
      </c>
      <c r="C13176" s="16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5">
        <v>2013</v>
      </c>
      <c r="C13177" s="16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5">
        <v>2013</v>
      </c>
      <c r="C13178" s="16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5">
        <v>2013</v>
      </c>
      <c r="C13179" s="16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5">
        <v>2013</v>
      </c>
      <c r="C13180" s="16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5">
        <v>2013</v>
      </c>
      <c r="C13181" s="16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5">
        <v>2013</v>
      </c>
      <c r="C13182" s="16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5">
        <v>2013</v>
      </c>
      <c r="C13183" s="16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5">
        <v>2013</v>
      </c>
      <c r="C13184" s="16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5">
        <v>2013</v>
      </c>
      <c r="C13185" s="16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5">
        <v>2013</v>
      </c>
      <c r="C13186" s="16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5">
        <v>2013</v>
      </c>
      <c r="C13187" s="16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5">
        <v>2013</v>
      </c>
      <c r="C13188" s="16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5">
        <v>2013</v>
      </c>
      <c r="C13189" s="16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5">
        <v>2013</v>
      </c>
      <c r="C13190" s="16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5">
        <v>2013</v>
      </c>
      <c r="C13191" s="16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5">
        <v>2013</v>
      </c>
      <c r="C13192" s="16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5">
        <v>2013</v>
      </c>
      <c r="C13193" s="16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5">
        <v>2013</v>
      </c>
      <c r="C13194" s="16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5">
        <v>2013</v>
      </c>
      <c r="C13195" s="16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5">
        <v>2013</v>
      </c>
      <c r="C13196" s="16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5">
        <v>2013</v>
      </c>
      <c r="C13197" s="16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5">
        <v>2013</v>
      </c>
      <c r="C13198" s="16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5">
        <v>2013</v>
      </c>
      <c r="C13199" s="16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5">
        <v>2013</v>
      </c>
      <c r="C13200" s="16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5">
        <v>2013</v>
      </c>
      <c r="C13201" s="16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5">
        <v>2013</v>
      </c>
      <c r="C13202" s="16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5">
        <v>2013</v>
      </c>
      <c r="C13203" s="16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5">
        <v>2013</v>
      </c>
      <c r="C13204" s="16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5">
        <v>2013</v>
      </c>
      <c r="C13205" s="16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5">
        <v>2013</v>
      </c>
      <c r="C13206" s="16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5">
        <v>2013</v>
      </c>
      <c r="C13207" s="16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5">
        <v>2013</v>
      </c>
      <c r="C13208" s="16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5">
        <v>2013</v>
      </c>
      <c r="C13209" s="16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5">
        <v>2013</v>
      </c>
      <c r="C13210" s="16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5">
        <v>2013</v>
      </c>
      <c r="C13211" s="16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5">
        <v>2013</v>
      </c>
      <c r="C13212" s="16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5">
        <v>2013</v>
      </c>
      <c r="C13213" s="16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5">
        <v>2013</v>
      </c>
      <c r="C13214" s="16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5">
        <v>2013</v>
      </c>
      <c r="C13215" s="16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5">
        <v>2013</v>
      </c>
      <c r="C13216" s="16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5">
        <v>2013</v>
      </c>
      <c r="C13217" s="16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5">
        <v>2013</v>
      </c>
      <c r="C13218" s="16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5">
        <v>2013</v>
      </c>
      <c r="C13219" s="16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5">
        <v>2013</v>
      </c>
      <c r="C13220" s="16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5">
        <v>2013</v>
      </c>
      <c r="C13221" s="16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5">
        <v>2013</v>
      </c>
      <c r="C13222" s="16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5">
        <v>2013</v>
      </c>
      <c r="C13223" s="16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5">
        <v>2013</v>
      </c>
      <c r="C13224" s="16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5">
        <v>2013</v>
      </c>
      <c r="C13225" s="16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5">
        <v>2013</v>
      </c>
      <c r="C13226" s="16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5">
        <v>2013</v>
      </c>
      <c r="C13227" s="16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5">
        <v>2013</v>
      </c>
      <c r="C13228" s="16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5">
        <v>2013</v>
      </c>
      <c r="C13229" s="16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5">
        <v>2013</v>
      </c>
      <c r="C13230" s="16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5">
        <v>2013</v>
      </c>
      <c r="C13231" s="16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5">
        <v>2013</v>
      </c>
      <c r="C13232" s="16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5">
        <v>2013</v>
      </c>
      <c r="C13233" s="16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5">
        <v>2013</v>
      </c>
      <c r="C13234" s="16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5">
        <v>2013</v>
      </c>
      <c r="C13235" s="16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5">
        <v>2013</v>
      </c>
      <c r="C13236" s="16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5">
        <v>2013</v>
      </c>
      <c r="C13237" s="16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5">
        <v>2013</v>
      </c>
      <c r="C13238" s="16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5">
        <v>2013</v>
      </c>
      <c r="C13239" s="16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5">
        <v>2013</v>
      </c>
      <c r="C13240" s="16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5">
        <v>2013</v>
      </c>
      <c r="C13241" s="16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5">
        <v>2013</v>
      </c>
      <c r="C13242" s="16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5">
        <v>2013</v>
      </c>
      <c r="C13243" s="16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5">
        <v>2013</v>
      </c>
      <c r="C13244" s="16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5">
        <v>2013</v>
      </c>
      <c r="C13245" s="16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5">
        <v>2013</v>
      </c>
      <c r="C13246" s="16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5">
        <v>2013</v>
      </c>
      <c r="C13247" s="16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5">
        <v>2013</v>
      </c>
      <c r="C13248" s="16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5">
        <v>2013</v>
      </c>
      <c r="C13249" s="16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5">
        <v>2013</v>
      </c>
      <c r="C13250" s="16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5">
        <v>2013</v>
      </c>
      <c r="C13251" s="16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5">
        <v>2013</v>
      </c>
      <c r="C13252" s="16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5">
        <v>2013</v>
      </c>
      <c r="C13253" s="16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5">
        <v>2013</v>
      </c>
      <c r="C13254" s="16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5">
        <v>2013</v>
      </c>
      <c r="C13255" s="16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5">
        <v>2013</v>
      </c>
      <c r="C13256" s="16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5">
        <v>2013</v>
      </c>
      <c r="C13257" s="16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5">
        <v>2013</v>
      </c>
      <c r="C13258" s="16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5">
        <v>2013</v>
      </c>
      <c r="C13259" s="16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5">
        <v>2013</v>
      </c>
      <c r="C13260" s="16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5">
        <v>2013</v>
      </c>
      <c r="C13261" s="16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5">
        <v>2013</v>
      </c>
      <c r="C13262" s="16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5">
        <v>2013</v>
      </c>
      <c r="C13263" s="16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5">
        <v>2013</v>
      </c>
      <c r="C13264" s="16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5">
        <v>2013</v>
      </c>
      <c r="C13265" s="16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5">
        <v>2013</v>
      </c>
      <c r="C13266" s="16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5">
        <v>2013</v>
      </c>
      <c r="C13267" s="16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5">
        <v>2013</v>
      </c>
      <c r="C13268" s="16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5">
        <v>2013</v>
      </c>
      <c r="C13269" s="16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5">
        <v>2013</v>
      </c>
      <c r="C13270" s="16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5">
        <v>2013</v>
      </c>
      <c r="C13271" s="16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5">
        <v>2013</v>
      </c>
      <c r="C13272" s="16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5">
        <v>2013</v>
      </c>
      <c r="C13273" s="16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5">
        <v>2013</v>
      </c>
      <c r="C13274" s="16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5">
        <v>2013</v>
      </c>
      <c r="C13275" s="16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5">
        <v>2013</v>
      </c>
      <c r="C13276" s="16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5">
        <v>2013</v>
      </c>
      <c r="C13277" s="16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5">
        <v>2013</v>
      </c>
      <c r="C13278" s="16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5">
        <v>2013</v>
      </c>
      <c r="C13279" s="16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5">
        <v>2013</v>
      </c>
      <c r="C13280" s="16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5">
        <v>2013</v>
      </c>
      <c r="C13281" s="16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5">
        <v>2013</v>
      </c>
      <c r="C13282" s="16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5">
        <v>2013</v>
      </c>
      <c r="C13283" s="16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5">
        <v>2013</v>
      </c>
      <c r="C13284" s="16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5">
        <v>2013</v>
      </c>
      <c r="C13285" s="16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5">
        <v>2013</v>
      </c>
      <c r="C13286" s="16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5">
        <v>2013</v>
      </c>
      <c r="C13287" s="16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5">
        <v>2013</v>
      </c>
      <c r="C13288" s="16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5">
        <v>2013</v>
      </c>
      <c r="C13289" s="16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5">
        <v>2013</v>
      </c>
      <c r="C13290" s="16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5">
        <v>2013</v>
      </c>
      <c r="C13291" s="16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5">
        <v>2013</v>
      </c>
      <c r="C13292" s="16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5">
        <v>2013</v>
      </c>
      <c r="C13293" s="16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5">
        <v>2013</v>
      </c>
      <c r="C13294" s="16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5">
        <v>2013</v>
      </c>
      <c r="C13295" s="16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5">
        <v>2013</v>
      </c>
      <c r="C13296" s="16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5">
        <v>2013</v>
      </c>
      <c r="C13297" s="16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5">
        <v>2013</v>
      </c>
      <c r="C13298" s="16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5">
        <v>2013</v>
      </c>
      <c r="C13299" s="16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5">
        <v>2013</v>
      </c>
      <c r="C13300" s="16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5">
        <v>2013</v>
      </c>
      <c r="C13301" s="16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5">
        <v>2013</v>
      </c>
      <c r="C13302" s="16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5">
        <v>2013</v>
      </c>
      <c r="C13303" s="16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5">
        <v>2013</v>
      </c>
      <c r="C13304" s="16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5">
        <v>2013</v>
      </c>
      <c r="C13305" s="16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5">
        <v>2013</v>
      </c>
      <c r="C13306" s="16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5">
        <v>2013</v>
      </c>
      <c r="C13307" s="16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5">
        <v>2013</v>
      </c>
      <c r="C13308" s="16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5">
        <v>2013</v>
      </c>
      <c r="C13309" s="16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5">
        <v>2013</v>
      </c>
      <c r="C13310" s="16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5">
        <v>2013</v>
      </c>
      <c r="C13311" s="16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5">
        <v>2013</v>
      </c>
      <c r="C13312" s="16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5">
        <v>2013</v>
      </c>
      <c r="C13313" s="16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5">
        <v>2013</v>
      </c>
      <c r="C13314" s="16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5">
        <v>2013</v>
      </c>
      <c r="C13315" s="16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5">
        <v>2013</v>
      </c>
      <c r="C13316" s="16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5">
        <v>2013</v>
      </c>
      <c r="C13317" s="16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5">
        <v>2013</v>
      </c>
      <c r="C13318" s="16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5">
        <v>2013</v>
      </c>
      <c r="C13319" s="16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5">
        <v>2013</v>
      </c>
      <c r="C13320" s="16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5">
        <v>2013</v>
      </c>
      <c r="C13321" s="16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5">
        <v>2013</v>
      </c>
      <c r="C13322" s="16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5">
        <v>2013</v>
      </c>
      <c r="C13323" s="16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5">
        <v>2013</v>
      </c>
      <c r="C13324" s="16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5">
        <v>2013</v>
      </c>
      <c r="C13325" s="16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5">
        <v>2013</v>
      </c>
      <c r="C13326" s="16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5">
        <v>2013</v>
      </c>
      <c r="C13327" s="16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5">
        <v>2013</v>
      </c>
      <c r="C13328" s="16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5">
        <v>2013</v>
      </c>
      <c r="C13329" s="16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5">
        <v>2013</v>
      </c>
      <c r="C13330" s="16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5">
        <v>2013</v>
      </c>
      <c r="C13331" s="16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5">
        <v>2013</v>
      </c>
      <c r="C13332" s="16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5">
        <v>2013</v>
      </c>
      <c r="C13333" s="16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5">
        <v>2013</v>
      </c>
      <c r="C13334" s="16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5">
        <v>2013</v>
      </c>
      <c r="C13335" s="16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5">
        <v>2013</v>
      </c>
      <c r="C13336" s="16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5">
        <v>2013</v>
      </c>
      <c r="C13337" s="16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5">
        <v>2013</v>
      </c>
      <c r="C13338" s="16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5">
        <v>2013</v>
      </c>
      <c r="C13339" s="16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5">
        <v>2013</v>
      </c>
      <c r="C13340" s="16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5">
        <v>2013</v>
      </c>
      <c r="C13341" s="16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5">
        <v>2013</v>
      </c>
      <c r="C13342" s="16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5">
        <v>2013</v>
      </c>
      <c r="C13343" s="16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5">
        <v>2013</v>
      </c>
      <c r="C13344" s="16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5">
        <v>2013</v>
      </c>
      <c r="C13345" s="16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5">
        <v>2013</v>
      </c>
      <c r="C13346" s="16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5">
        <v>2013</v>
      </c>
      <c r="C13347" s="16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5">
        <v>2013</v>
      </c>
      <c r="C13348" s="16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5">
        <v>2013</v>
      </c>
      <c r="C13349" s="16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5">
        <v>2013</v>
      </c>
      <c r="C13350" s="16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5">
        <v>2013</v>
      </c>
      <c r="C13351" s="16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5">
        <v>2013</v>
      </c>
      <c r="C13352" s="16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5">
        <v>2013</v>
      </c>
      <c r="C13353" s="16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5">
        <v>2013</v>
      </c>
      <c r="C13354" s="16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5">
        <v>2013</v>
      </c>
      <c r="C13355" s="16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5">
        <v>2013</v>
      </c>
      <c r="C13356" s="16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5">
        <v>2013</v>
      </c>
      <c r="C13357" s="16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5">
        <v>2013</v>
      </c>
      <c r="C13358" s="16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5">
        <v>2013</v>
      </c>
      <c r="C13359" s="16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5">
        <v>2013</v>
      </c>
      <c r="C13360" s="16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5">
        <v>2013</v>
      </c>
      <c r="C13361" s="16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5">
        <v>2013</v>
      </c>
      <c r="C13362" s="16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5">
        <v>2013</v>
      </c>
      <c r="C13363" s="16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5">
        <v>2013</v>
      </c>
      <c r="C13364" s="16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5">
        <v>2013</v>
      </c>
      <c r="C13365" s="16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5">
        <v>2013</v>
      </c>
      <c r="C13366" s="16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5">
        <v>2013</v>
      </c>
      <c r="C13367" s="16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5">
        <v>2013</v>
      </c>
      <c r="C13368" s="16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5">
        <v>2013</v>
      </c>
      <c r="C13369" s="16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5">
        <v>2013</v>
      </c>
      <c r="C13370" s="16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5">
        <v>2013</v>
      </c>
      <c r="C13371" s="16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5">
        <v>2013</v>
      </c>
      <c r="C13372" s="16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5">
        <v>2013</v>
      </c>
      <c r="C13373" s="16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5">
        <v>2013</v>
      </c>
      <c r="C13374" s="16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5">
        <v>2013</v>
      </c>
      <c r="C13375" s="16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5">
        <v>2013</v>
      </c>
      <c r="C13376" s="16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5">
        <v>2013</v>
      </c>
      <c r="C13377" s="16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5">
        <v>2013</v>
      </c>
      <c r="C13378" s="16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5">
        <v>2013</v>
      </c>
      <c r="C13379" s="16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5">
        <v>2013</v>
      </c>
      <c r="C13380" s="16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5">
        <v>2013</v>
      </c>
      <c r="C13381" s="16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5">
        <v>2013</v>
      </c>
      <c r="C13382" s="16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5">
        <v>2013</v>
      </c>
      <c r="C13383" s="16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5">
        <v>2013</v>
      </c>
      <c r="C13384" s="16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5">
        <v>2013</v>
      </c>
      <c r="C13385" s="16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5">
        <v>2013</v>
      </c>
      <c r="C13386" s="16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5">
        <v>2013</v>
      </c>
      <c r="C13387" s="16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5">
        <v>2013</v>
      </c>
      <c r="C13388" s="16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5">
        <v>2013</v>
      </c>
      <c r="C13389" s="16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5">
        <v>2013</v>
      </c>
      <c r="C13390" s="16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5">
        <v>2013</v>
      </c>
      <c r="C13391" s="16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5">
        <v>2013</v>
      </c>
      <c r="C13392" s="16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5">
        <v>2013</v>
      </c>
      <c r="C13393" s="16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5">
        <v>2013</v>
      </c>
      <c r="C13394" s="16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5">
        <v>2013</v>
      </c>
      <c r="C13395" s="16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5">
        <v>2013</v>
      </c>
      <c r="C13396" s="16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5">
        <v>2013</v>
      </c>
      <c r="C13397" s="16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5">
        <v>2013</v>
      </c>
      <c r="C13398" s="16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5">
        <v>2013</v>
      </c>
      <c r="C13399" s="16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5">
        <v>2013</v>
      </c>
      <c r="C13400" s="16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5">
        <v>2013</v>
      </c>
      <c r="C13401" s="16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5">
        <v>2013</v>
      </c>
      <c r="C13402" s="16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5">
        <v>2013</v>
      </c>
      <c r="C13403" s="16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5">
        <v>2013</v>
      </c>
      <c r="C13404" s="16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5">
        <v>2013</v>
      </c>
      <c r="C13405" s="16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5">
        <v>2013</v>
      </c>
      <c r="C13406" s="16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5">
        <v>2013</v>
      </c>
      <c r="C13407" s="16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5">
        <v>2013</v>
      </c>
      <c r="C13408" s="16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5">
        <v>2013</v>
      </c>
      <c r="C13409" s="16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5">
        <v>2013</v>
      </c>
      <c r="C13410" s="16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5">
        <v>2013</v>
      </c>
      <c r="C13411" s="16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5">
        <v>2013</v>
      </c>
      <c r="C13412" s="16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5">
        <v>2013</v>
      </c>
      <c r="C13413" s="16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5">
        <v>2013</v>
      </c>
      <c r="C13414" s="16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5">
        <v>2013</v>
      </c>
      <c r="C13415" s="16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5">
        <v>2013</v>
      </c>
      <c r="C13416" s="16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5">
        <v>2013</v>
      </c>
      <c r="C13417" s="16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5">
        <v>2013</v>
      </c>
      <c r="C13418" s="16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5">
        <v>2013</v>
      </c>
      <c r="C13419" s="16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5">
        <v>2013</v>
      </c>
      <c r="C13420" s="16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5">
        <v>2013</v>
      </c>
      <c r="C13421" s="16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5">
        <v>2013</v>
      </c>
      <c r="C13422" s="16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5">
        <v>2013</v>
      </c>
      <c r="C13423" s="16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5">
        <v>2013</v>
      </c>
      <c r="C13424" s="16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5">
        <v>2013</v>
      </c>
      <c r="C13425" s="16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5">
        <v>2013</v>
      </c>
      <c r="C13426" s="16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5">
        <v>2013</v>
      </c>
      <c r="C13427" s="16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5">
        <v>2013</v>
      </c>
      <c r="C13428" s="16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5">
        <v>2013</v>
      </c>
      <c r="C13429" s="16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5">
        <v>2013</v>
      </c>
      <c r="C13430" s="16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5">
        <v>2013</v>
      </c>
      <c r="C13431" s="16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5">
        <v>2013</v>
      </c>
      <c r="C13432" s="16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5">
        <v>2013</v>
      </c>
      <c r="C13433" s="16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5">
        <v>2013</v>
      </c>
      <c r="C13434" s="16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5">
        <v>2013</v>
      </c>
      <c r="C13435" s="16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5">
        <v>2013</v>
      </c>
      <c r="C13436" s="16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5">
        <v>2013</v>
      </c>
      <c r="C13437" s="16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5">
        <v>2013</v>
      </c>
      <c r="C13438" s="16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5">
        <v>2013</v>
      </c>
      <c r="C13439" s="16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5">
        <v>2013</v>
      </c>
      <c r="C13440" s="16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5">
        <v>2013</v>
      </c>
      <c r="C13441" s="16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5">
        <v>2013</v>
      </c>
      <c r="C13442" s="16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5">
        <v>2013</v>
      </c>
      <c r="C13443" s="16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5">
        <v>2013</v>
      </c>
      <c r="C13444" s="16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5">
        <v>2013</v>
      </c>
      <c r="C13445" s="16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5">
        <v>2013</v>
      </c>
      <c r="C13446" s="16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5">
        <v>2013</v>
      </c>
      <c r="C13447" s="16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5">
        <v>2013</v>
      </c>
      <c r="C13448" s="16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5">
        <v>2013</v>
      </c>
      <c r="C13449" s="16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5">
        <v>2013</v>
      </c>
      <c r="C13450" s="16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5">
        <v>2013</v>
      </c>
      <c r="C13451" s="16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5">
        <v>2013</v>
      </c>
      <c r="C13452" s="16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5">
        <v>2013</v>
      </c>
      <c r="C13453" s="16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5">
        <v>2013</v>
      </c>
      <c r="C13454" s="16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5">
        <v>2013</v>
      </c>
      <c r="C13455" s="16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5">
        <v>2013</v>
      </c>
      <c r="C13456" s="16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5">
        <v>2013</v>
      </c>
      <c r="C13457" s="16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5">
        <v>2013</v>
      </c>
      <c r="C13458" s="16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5">
        <v>2013</v>
      </c>
      <c r="C13459" s="16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5">
        <v>2013</v>
      </c>
      <c r="C13460" s="16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5">
        <v>2013</v>
      </c>
      <c r="C13461" s="16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5">
        <v>2013</v>
      </c>
      <c r="C13462" s="16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5">
        <v>2013</v>
      </c>
      <c r="C13463" s="16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5">
        <v>2013</v>
      </c>
      <c r="C13464" s="16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5">
        <v>2013</v>
      </c>
      <c r="C13465" s="16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5">
        <v>2013</v>
      </c>
      <c r="C13466" s="16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5">
        <v>2013</v>
      </c>
      <c r="C13467" s="16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5">
        <v>2013</v>
      </c>
      <c r="C13468" s="16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5">
        <v>2013</v>
      </c>
      <c r="C13469" s="16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5">
        <v>2013</v>
      </c>
      <c r="C13470" s="16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5">
        <v>2013</v>
      </c>
      <c r="C13471" s="16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5">
        <v>2013</v>
      </c>
      <c r="C13472" s="16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5">
        <v>2013</v>
      </c>
      <c r="C13473" s="16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5">
        <v>2013</v>
      </c>
      <c r="C13474" s="16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5">
        <v>2013</v>
      </c>
      <c r="C13475" s="16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5">
        <v>2013</v>
      </c>
      <c r="C13476" s="16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5">
        <v>2013</v>
      </c>
      <c r="C13477" s="16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5">
        <v>2013</v>
      </c>
      <c r="C13478" s="16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5">
        <v>2013</v>
      </c>
      <c r="C13479" s="16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5">
        <v>2013</v>
      </c>
      <c r="C13480" s="16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5">
        <v>2013</v>
      </c>
      <c r="C13481" s="16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5">
        <v>2013</v>
      </c>
      <c r="C13482" s="16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5">
        <v>2013</v>
      </c>
      <c r="C13483" s="16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5">
        <v>2013</v>
      </c>
      <c r="C13484" s="16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5">
        <v>2013</v>
      </c>
      <c r="C13485" s="16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5">
        <v>2013</v>
      </c>
      <c r="C13486" s="16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5">
        <v>2013</v>
      </c>
      <c r="C13487" s="16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5">
        <v>2013</v>
      </c>
      <c r="C13488" s="16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5">
        <v>2013</v>
      </c>
      <c r="C13489" s="16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5">
        <v>2013</v>
      </c>
      <c r="C13490" s="16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5">
        <v>2013</v>
      </c>
      <c r="C13491" s="16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5">
        <v>2013</v>
      </c>
      <c r="C13492" s="16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5">
        <v>2013</v>
      </c>
      <c r="C13493" s="16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5">
        <v>2013</v>
      </c>
      <c r="C13494" s="16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5">
        <v>2013</v>
      </c>
      <c r="C13495" s="16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5">
        <v>2013</v>
      </c>
      <c r="C13496" s="16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5">
        <v>2013</v>
      </c>
      <c r="C13497" s="16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5">
        <v>2013</v>
      </c>
      <c r="C13498" s="16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5">
        <v>2013</v>
      </c>
      <c r="C13499" s="16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5">
        <v>2013</v>
      </c>
      <c r="C13500" s="16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5">
        <v>2013</v>
      </c>
      <c r="C13501" s="16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5">
        <v>2013</v>
      </c>
      <c r="C13502" s="16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5">
        <v>2013</v>
      </c>
      <c r="C13503" s="16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5">
        <v>2013</v>
      </c>
      <c r="C13504" s="16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5">
        <v>2013</v>
      </c>
      <c r="C13505" s="16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5">
        <v>2013</v>
      </c>
      <c r="C13506" s="16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5">
        <v>2013</v>
      </c>
      <c r="C13507" s="16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5">
        <v>2013</v>
      </c>
      <c r="C13508" s="16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5">
        <v>2013</v>
      </c>
      <c r="C13509" s="16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5">
        <v>2013</v>
      </c>
      <c r="C13510" s="16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5">
        <v>2013</v>
      </c>
      <c r="C13511" s="16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5">
        <v>2013</v>
      </c>
      <c r="C13512" s="16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5">
        <v>2013</v>
      </c>
      <c r="C13513" s="16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5">
        <v>2013</v>
      </c>
      <c r="C13514" s="16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5">
        <v>2013</v>
      </c>
      <c r="C13515" s="16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5">
        <v>2013</v>
      </c>
      <c r="C13516" s="16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5">
        <v>2013</v>
      </c>
      <c r="C13517" s="16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5">
        <v>2013</v>
      </c>
      <c r="C13518" s="16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5">
        <v>2013</v>
      </c>
      <c r="C13519" s="16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5">
        <v>2013</v>
      </c>
      <c r="C13520" s="16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5">
        <v>2013</v>
      </c>
      <c r="C13521" s="16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5">
        <v>2013</v>
      </c>
      <c r="C13522" s="16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5">
        <v>2013</v>
      </c>
      <c r="C13523" s="16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5">
        <v>2013</v>
      </c>
      <c r="C13524" s="16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5">
        <v>2013</v>
      </c>
      <c r="C13525" s="16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5">
        <v>2013</v>
      </c>
      <c r="C13526" s="16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5">
        <v>2013</v>
      </c>
      <c r="C13527" s="16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5">
        <v>2013</v>
      </c>
      <c r="C13528" s="16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5">
        <v>2013</v>
      </c>
      <c r="C13529" s="16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5">
        <v>2013</v>
      </c>
      <c r="C13530" s="16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5">
        <v>2013</v>
      </c>
      <c r="C13531" s="16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5">
        <v>2013</v>
      </c>
      <c r="C13532" s="16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5">
        <v>2013</v>
      </c>
      <c r="C13533" s="16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5">
        <v>2013</v>
      </c>
      <c r="C13534" s="16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5">
        <v>2013</v>
      </c>
      <c r="C13535" s="16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5">
        <v>2013</v>
      </c>
      <c r="C13536" s="16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5">
        <v>2013</v>
      </c>
      <c r="C13537" s="16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5">
        <v>2013</v>
      </c>
      <c r="C13538" s="16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5">
        <v>2013</v>
      </c>
      <c r="C13539" s="16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5">
        <v>2013</v>
      </c>
      <c r="C13540" s="16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5">
        <v>2013</v>
      </c>
      <c r="C13541" s="16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5">
        <v>2013</v>
      </c>
      <c r="C13542" s="16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5">
        <v>2013</v>
      </c>
      <c r="C13543" s="16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5">
        <v>2013</v>
      </c>
      <c r="C13544" s="16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5">
        <v>2013</v>
      </c>
      <c r="C13545" s="16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5">
        <v>2013</v>
      </c>
      <c r="C13546" s="16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5">
        <v>2013</v>
      </c>
      <c r="C13547" s="16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5">
        <v>2013</v>
      </c>
      <c r="C13548" s="16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5">
        <v>2013</v>
      </c>
      <c r="C13549" s="16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5">
        <v>2013</v>
      </c>
      <c r="C13550" s="16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5">
        <v>2013</v>
      </c>
      <c r="C13551" s="16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5">
        <v>2013</v>
      </c>
      <c r="C13552" s="16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5">
        <v>2013</v>
      </c>
      <c r="C13553" s="16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5">
        <v>2013</v>
      </c>
      <c r="C13554" s="16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5">
        <v>2013</v>
      </c>
      <c r="C13555" s="16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5">
        <v>2013</v>
      </c>
      <c r="C13556" s="16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5">
        <v>2013</v>
      </c>
      <c r="C13557" s="16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5">
        <v>2013</v>
      </c>
      <c r="C13558" s="16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5">
        <v>2013</v>
      </c>
      <c r="C13559" s="16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5">
        <v>2013</v>
      </c>
      <c r="C13560" s="16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5">
        <v>2013</v>
      </c>
      <c r="C13561" s="16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5">
        <v>2013</v>
      </c>
      <c r="C13562" s="16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5">
        <v>2013</v>
      </c>
      <c r="C13563" s="16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5">
        <v>2013</v>
      </c>
      <c r="C13564" s="16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5">
        <v>2013</v>
      </c>
      <c r="C13565" s="16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5">
        <v>2013</v>
      </c>
      <c r="C13566" s="16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5">
        <v>2013</v>
      </c>
      <c r="C13567" s="16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5">
        <v>2013</v>
      </c>
      <c r="C13568" s="16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5">
        <v>2013</v>
      </c>
      <c r="C13569" s="16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5">
        <v>2013</v>
      </c>
      <c r="C13570" s="16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5">
        <v>2013</v>
      </c>
      <c r="C13571" s="16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5">
        <v>2013</v>
      </c>
      <c r="C13572" s="16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5">
        <v>2013</v>
      </c>
      <c r="C13573" s="16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5">
        <v>2013</v>
      </c>
      <c r="C13574" s="16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5">
        <v>2013</v>
      </c>
      <c r="C13575" s="16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5">
        <v>2013</v>
      </c>
      <c r="C13576" s="16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5">
        <v>2013</v>
      </c>
      <c r="C13577" s="16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5">
        <v>2013</v>
      </c>
      <c r="C13578" s="16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5">
        <v>2013</v>
      </c>
      <c r="C13579" s="16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5">
        <v>2013</v>
      </c>
      <c r="C13580" s="16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5">
        <v>2013</v>
      </c>
      <c r="C13581" s="16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5">
        <v>2013</v>
      </c>
      <c r="C13582" s="16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5">
        <v>2013</v>
      </c>
      <c r="C13583" s="16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5">
        <v>2013</v>
      </c>
      <c r="C13584" s="16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5">
        <v>2013</v>
      </c>
      <c r="C13585" s="16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5">
        <v>2013</v>
      </c>
      <c r="C13586" s="16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5">
        <v>2013</v>
      </c>
      <c r="C13587" s="16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5">
        <v>2013</v>
      </c>
      <c r="C13588" s="16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5">
        <v>2013</v>
      </c>
      <c r="C13589" s="16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5">
        <v>2013</v>
      </c>
      <c r="C13590" s="16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5">
        <v>2013</v>
      </c>
      <c r="C13591" s="16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5">
        <v>2013</v>
      </c>
      <c r="C13592" s="16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5">
        <v>2013</v>
      </c>
      <c r="C13593" s="16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5">
        <v>2013</v>
      </c>
      <c r="C13594" s="16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5">
        <v>2013</v>
      </c>
      <c r="C13595" s="16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5">
        <v>2013</v>
      </c>
      <c r="C13596" s="16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5">
        <v>2013</v>
      </c>
      <c r="C13597" s="16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5">
        <v>2013</v>
      </c>
      <c r="C13598" s="16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5">
        <v>2013</v>
      </c>
      <c r="C13599" s="16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5">
        <v>2013</v>
      </c>
      <c r="C13600" s="16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5">
        <v>2013</v>
      </c>
      <c r="C13601" s="16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5">
        <v>2013</v>
      </c>
      <c r="C13602" s="16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5">
        <v>2013</v>
      </c>
      <c r="C13603" s="16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5">
        <v>2013</v>
      </c>
      <c r="C13604" s="16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5">
        <v>2013</v>
      </c>
      <c r="C13605" s="16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5">
        <v>2013</v>
      </c>
      <c r="C13606" s="16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5">
        <v>2013</v>
      </c>
      <c r="C13607" s="16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5">
        <v>2013</v>
      </c>
      <c r="C13608" s="16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5">
        <v>2013</v>
      </c>
      <c r="C13609" s="16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5">
        <v>2013</v>
      </c>
      <c r="C13610" s="16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5">
        <v>2013</v>
      </c>
      <c r="C13611" s="16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5">
        <v>2013</v>
      </c>
      <c r="C13612" s="16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5">
        <v>2013</v>
      </c>
      <c r="C13613" s="16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5">
        <v>2013</v>
      </c>
      <c r="C13614" s="16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5">
        <v>2013</v>
      </c>
      <c r="C13615" s="16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5">
        <v>2013</v>
      </c>
      <c r="C13616" s="16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5">
        <v>2013</v>
      </c>
      <c r="C13617" s="16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5">
        <v>2013</v>
      </c>
      <c r="C13618" s="16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5">
        <v>2013</v>
      </c>
      <c r="C13619" s="16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5">
        <v>2013</v>
      </c>
      <c r="C13620" s="16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5">
        <v>2013</v>
      </c>
      <c r="C13621" s="16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5">
        <v>2013</v>
      </c>
      <c r="C13622" s="16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5">
        <v>2013</v>
      </c>
      <c r="C13623" s="16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5">
        <v>2013</v>
      </c>
      <c r="C13624" s="16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5">
        <v>2013</v>
      </c>
      <c r="C13625" s="16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5">
        <v>2013</v>
      </c>
      <c r="C13626" s="16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5">
        <v>2013</v>
      </c>
      <c r="C13627" s="16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5">
        <v>2013</v>
      </c>
      <c r="C13628" s="16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5">
        <v>2013</v>
      </c>
      <c r="C13629" s="16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5">
        <v>2013</v>
      </c>
      <c r="C13630" s="16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5">
        <v>2013</v>
      </c>
      <c r="C13631" s="16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5">
        <v>2013</v>
      </c>
      <c r="C13632" s="16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5">
        <v>2013</v>
      </c>
      <c r="C13633" s="16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5">
        <v>2013</v>
      </c>
      <c r="C13634" s="16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5">
        <v>2013</v>
      </c>
      <c r="C13635" s="16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5">
        <v>2013</v>
      </c>
      <c r="C13636" s="16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5">
        <v>2013</v>
      </c>
      <c r="C13637" s="16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5">
        <v>2013</v>
      </c>
      <c r="C13638" s="16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5">
        <v>2013</v>
      </c>
      <c r="C13639" s="16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5">
        <v>2013</v>
      </c>
      <c r="C13640" s="16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5">
        <v>2013</v>
      </c>
      <c r="C13641" s="16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5">
        <v>2013</v>
      </c>
      <c r="C13642" s="16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5">
        <v>2013</v>
      </c>
      <c r="C13643" s="16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5">
        <v>2013</v>
      </c>
      <c r="C13644" s="16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5">
        <v>2013</v>
      </c>
      <c r="C13645" s="16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5">
        <v>2013</v>
      </c>
      <c r="C13646" s="16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5">
        <v>2013</v>
      </c>
      <c r="C13647" s="16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5">
        <v>2013</v>
      </c>
      <c r="C13648" s="16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5">
        <v>2013</v>
      </c>
      <c r="C13649" s="16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5">
        <v>2013</v>
      </c>
      <c r="C13650" s="16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5">
        <v>2013</v>
      </c>
      <c r="C13651" s="16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5">
        <v>2013</v>
      </c>
      <c r="C13652" s="16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5">
        <v>2013</v>
      </c>
      <c r="C13653" s="16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5">
        <v>2013</v>
      </c>
      <c r="C13654" s="16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5">
        <v>2013</v>
      </c>
      <c r="C13655" s="16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5">
        <v>2013</v>
      </c>
      <c r="C13656" s="16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5">
        <v>2013</v>
      </c>
      <c r="C13657" s="16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5">
        <v>2013</v>
      </c>
      <c r="C13658" s="16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5">
        <v>2013</v>
      </c>
      <c r="C13659" s="16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5">
        <v>2013</v>
      </c>
      <c r="C13660" s="16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5">
        <v>2013</v>
      </c>
      <c r="C13661" s="16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5">
        <v>2013</v>
      </c>
      <c r="C13662" s="16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5">
        <v>2013</v>
      </c>
      <c r="C13663" s="16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5">
        <v>2013</v>
      </c>
      <c r="C13664" s="16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5">
        <v>2013</v>
      </c>
      <c r="C13665" s="16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5">
        <v>2013</v>
      </c>
      <c r="C13666" s="16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5">
        <v>2013</v>
      </c>
      <c r="C13667" s="16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5">
        <v>2013</v>
      </c>
      <c r="C13668" s="16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5">
        <v>2013</v>
      </c>
      <c r="C13669" s="16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5">
        <v>2013</v>
      </c>
      <c r="C13670" s="16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5">
        <v>2013</v>
      </c>
      <c r="C13671" s="16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5">
        <v>2013</v>
      </c>
      <c r="C13672" s="16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5">
        <v>2013</v>
      </c>
      <c r="C13673" s="16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5">
        <v>2013</v>
      </c>
      <c r="C13674" s="16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5">
        <v>2013</v>
      </c>
      <c r="C13675" s="16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5">
        <v>2013</v>
      </c>
      <c r="C13676" s="16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5">
        <v>2013</v>
      </c>
      <c r="C13677" s="16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5">
        <v>2013</v>
      </c>
      <c r="C13678" s="16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5">
        <v>2013</v>
      </c>
      <c r="C13679" s="16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5">
        <v>2013</v>
      </c>
      <c r="C13680" s="16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5">
        <v>2013</v>
      </c>
      <c r="C13681" s="16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5">
        <v>2013</v>
      </c>
      <c r="C13682" s="16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5">
        <v>2013</v>
      </c>
      <c r="C13683" s="16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5">
        <v>2013</v>
      </c>
      <c r="C13684" s="16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5">
        <v>2013</v>
      </c>
      <c r="C13685" s="16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5">
        <v>2013</v>
      </c>
      <c r="C13686" s="16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5">
        <v>2013</v>
      </c>
      <c r="C13687" s="16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5">
        <v>2013</v>
      </c>
      <c r="C13688" s="16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5">
        <v>2013</v>
      </c>
      <c r="C13689" s="16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5">
        <v>2013</v>
      </c>
      <c r="C13690" s="16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5">
        <v>2013</v>
      </c>
      <c r="C13691" s="16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5">
        <v>2013</v>
      </c>
      <c r="C13692" s="16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5">
        <v>2013</v>
      </c>
      <c r="C13693" s="16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5">
        <v>2013</v>
      </c>
      <c r="C13694" s="16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5">
        <v>2013</v>
      </c>
      <c r="C13695" s="16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5">
        <v>2013</v>
      </c>
      <c r="C13696" s="16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5">
        <v>2013</v>
      </c>
      <c r="C13697" s="16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5">
        <v>2013</v>
      </c>
      <c r="C13698" s="16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5">
        <v>2013</v>
      </c>
      <c r="C13699" s="16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5">
        <v>2013</v>
      </c>
      <c r="C13700" s="16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5">
        <v>2013</v>
      </c>
      <c r="C13701" s="16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5">
        <v>2013</v>
      </c>
      <c r="C13702" s="16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5">
        <v>2013</v>
      </c>
      <c r="C13703" s="16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5">
        <v>2013</v>
      </c>
      <c r="C13704" s="16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5">
        <v>2013</v>
      </c>
      <c r="C13705" s="16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5">
        <v>2013</v>
      </c>
      <c r="C13706" s="16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5">
        <v>2013</v>
      </c>
      <c r="C13707" s="16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5">
        <v>2013</v>
      </c>
      <c r="C13708" s="16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5">
        <v>2013</v>
      </c>
      <c r="C13709" s="16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5">
        <v>2013</v>
      </c>
      <c r="C13710" s="16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5">
        <v>2013</v>
      </c>
      <c r="C13711" s="16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5">
        <v>2013</v>
      </c>
      <c r="C13712" s="16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5">
        <v>2013</v>
      </c>
      <c r="C13713" s="16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5">
        <v>2013</v>
      </c>
      <c r="C13714" s="16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5">
        <v>2013</v>
      </c>
      <c r="C13715" s="16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5">
        <v>2013</v>
      </c>
      <c r="C13716" s="16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5">
        <v>2013</v>
      </c>
      <c r="C13717" s="16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5">
        <v>2013</v>
      </c>
      <c r="C13718" s="16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5">
        <v>2013</v>
      </c>
      <c r="C13719" s="16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5">
        <v>2013</v>
      </c>
      <c r="C13720" s="16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5">
        <v>2013</v>
      </c>
      <c r="C13721" s="16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5">
        <v>2013</v>
      </c>
      <c r="C13722" s="16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5">
        <v>2013</v>
      </c>
      <c r="C13723" s="16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5">
        <v>2013</v>
      </c>
      <c r="C13724" s="16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5">
        <v>2013</v>
      </c>
      <c r="C13725" s="16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5">
        <v>2013</v>
      </c>
      <c r="C13726" s="16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5">
        <v>2013</v>
      </c>
      <c r="C13727" s="16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5">
        <v>2013</v>
      </c>
      <c r="C13728" s="16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5">
        <v>2013</v>
      </c>
      <c r="C13729" s="16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5">
        <v>2013</v>
      </c>
      <c r="C13730" s="16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5">
        <v>2013</v>
      </c>
      <c r="C13731" s="16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5">
        <v>2013</v>
      </c>
      <c r="C13732" s="16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5">
        <v>2013</v>
      </c>
      <c r="C13733" s="16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5">
        <v>2013</v>
      </c>
      <c r="C13734" s="16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5">
        <v>2013</v>
      </c>
      <c r="C13735" s="16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5">
        <v>2013</v>
      </c>
      <c r="C13736" s="16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5">
        <v>2013</v>
      </c>
      <c r="C13737" s="16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5">
        <v>2013</v>
      </c>
      <c r="C13738" s="16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5">
        <v>2013</v>
      </c>
      <c r="C13739" s="16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5">
        <v>2013</v>
      </c>
      <c r="C13740" s="16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5">
        <v>2013</v>
      </c>
      <c r="C13741" s="16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5">
        <v>2013</v>
      </c>
      <c r="C13742" s="16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5">
        <v>2013</v>
      </c>
      <c r="C13743" s="16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5">
        <v>2013</v>
      </c>
      <c r="C13744" s="16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5">
        <v>2013</v>
      </c>
      <c r="C13745" s="16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5">
        <v>2013</v>
      </c>
      <c r="C13746" s="16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5">
        <v>2013</v>
      </c>
      <c r="C13747" s="16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5">
        <v>2013</v>
      </c>
      <c r="C13748" s="16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5">
        <v>2013</v>
      </c>
      <c r="C13749" s="16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5">
        <v>2013</v>
      </c>
      <c r="C13750" s="16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5">
        <v>2013</v>
      </c>
      <c r="C13751" s="16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5">
        <v>2013</v>
      </c>
      <c r="C13752" s="16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5">
        <v>2013</v>
      </c>
      <c r="C13753" s="16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5">
        <v>2013</v>
      </c>
      <c r="C13754" s="16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5">
        <v>2013</v>
      </c>
      <c r="C13755" s="16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5">
        <v>2013</v>
      </c>
      <c r="C13756" s="16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5">
        <v>2013</v>
      </c>
      <c r="C13757" s="16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5">
        <v>2013</v>
      </c>
      <c r="C13758" s="16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5">
        <v>2013</v>
      </c>
      <c r="C13759" s="16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5">
        <v>2013</v>
      </c>
      <c r="C13760" s="16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5">
        <v>2013</v>
      </c>
      <c r="C13761" s="16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5">
        <v>2013</v>
      </c>
      <c r="C13762" s="16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5">
        <v>2013</v>
      </c>
      <c r="C13763" s="16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5">
        <v>2013</v>
      </c>
      <c r="C13764" s="16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5">
        <v>2013</v>
      </c>
      <c r="C13765" s="16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5">
        <v>2013</v>
      </c>
      <c r="C13766" s="16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5">
        <v>2013</v>
      </c>
      <c r="C13767" s="16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5">
        <v>2013</v>
      </c>
      <c r="C13768" s="16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5">
        <v>2013</v>
      </c>
      <c r="C13769" s="16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5">
        <v>2013</v>
      </c>
      <c r="C13770" s="16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5">
        <v>2013</v>
      </c>
      <c r="C13771" s="16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5">
        <v>2013</v>
      </c>
      <c r="C13772" s="16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5">
        <v>2013</v>
      </c>
      <c r="C13773" s="16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5">
        <v>2013</v>
      </c>
      <c r="C13774" s="16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5">
        <v>2013</v>
      </c>
      <c r="C13775" s="16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5">
        <v>2013</v>
      </c>
      <c r="C13776" s="16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5">
        <v>2013</v>
      </c>
      <c r="C13777" s="16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5">
        <v>2013</v>
      </c>
      <c r="C13778" s="16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5">
        <v>2013</v>
      </c>
      <c r="C13779" s="16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5">
        <v>2013</v>
      </c>
      <c r="C13780" s="16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5">
        <v>2013</v>
      </c>
      <c r="C13781" s="16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5">
        <v>2013</v>
      </c>
      <c r="C13782" s="16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5">
        <v>2013</v>
      </c>
      <c r="C13783" s="16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5">
        <v>2013</v>
      </c>
      <c r="C13784" s="16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5">
        <v>2013</v>
      </c>
      <c r="C13785" s="16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5">
        <v>2013</v>
      </c>
      <c r="C13786" s="16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5">
        <v>2013</v>
      </c>
      <c r="C13787" s="16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5">
        <v>2013</v>
      </c>
      <c r="C13788" s="16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5">
        <v>2013</v>
      </c>
      <c r="C13789" s="16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5">
        <v>2013</v>
      </c>
      <c r="C13790" s="16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5">
        <v>2013</v>
      </c>
      <c r="C13791" s="16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5">
        <v>2013</v>
      </c>
      <c r="C13792" s="16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5">
        <v>2013</v>
      </c>
      <c r="C13793" s="16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5">
        <v>2013</v>
      </c>
      <c r="C13794" s="16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5">
        <v>2013</v>
      </c>
      <c r="C13795" s="16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5">
        <v>2013</v>
      </c>
      <c r="C13796" s="16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5">
        <v>2013</v>
      </c>
      <c r="C13797" s="16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5">
        <v>2013</v>
      </c>
      <c r="C13798" s="16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5">
        <v>2013</v>
      </c>
      <c r="C13799" s="16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5">
        <v>2013</v>
      </c>
      <c r="C13800" s="16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5">
        <v>2013</v>
      </c>
      <c r="C13801" s="16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5">
        <v>2013</v>
      </c>
      <c r="C13802" s="16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5">
        <v>2013</v>
      </c>
      <c r="C13803" s="16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5">
        <v>2013</v>
      </c>
      <c r="C13804" s="16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5">
        <v>2013</v>
      </c>
      <c r="C13805" s="16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5">
        <v>2013</v>
      </c>
      <c r="C13806" s="16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5">
        <v>2013</v>
      </c>
      <c r="C13807" s="16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5">
        <v>2013</v>
      </c>
      <c r="C13808" s="16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5">
        <v>2013</v>
      </c>
      <c r="C13809" s="16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5">
        <v>2013</v>
      </c>
      <c r="C13810" s="16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5">
        <v>2013</v>
      </c>
      <c r="C13811" s="16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5">
        <v>2013</v>
      </c>
      <c r="C13812" s="16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5">
        <v>2013</v>
      </c>
      <c r="C13813" s="16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5">
        <v>2013</v>
      </c>
      <c r="C13814" s="16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5">
        <v>2013</v>
      </c>
      <c r="C13815" s="16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5">
        <v>2013</v>
      </c>
      <c r="C13816" s="16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5">
        <v>2013</v>
      </c>
      <c r="C13817" s="16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5">
        <v>2013</v>
      </c>
      <c r="C13818" s="16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5">
        <v>2013</v>
      </c>
      <c r="C13819" s="16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5">
        <v>2013</v>
      </c>
      <c r="C13820" s="16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5">
        <v>2013</v>
      </c>
      <c r="C13821" s="16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5">
        <v>2013</v>
      </c>
      <c r="C13822" s="16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5">
        <v>2013</v>
      </c>
      <c r="C13823" s="16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5">
        <v>2013</v>
      </c>
      <c r="C13824" s="16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5">
        <v>2013</v>
      </c>
      <c r="C13825" s="16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5">
        <v>2013</v>
      </c>
      <c r="C13826" s="16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5">
        <v>2013</v>
      </c>
      <c r="C13827" s="16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5">
        <v>2013</v>
      </c>
      <c r="C13828" s="16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5">
        <v>2013</v>
      </c>
      <c r="C13829" s="16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5">
        <v>2013</v>
      </c>
      <c r="C13830" s="16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5">
        <v>2013</v>
      </c>
      <c r="C13831" s="16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5">
        <v>2013</v>
      </c>
      <c r="C13832" s="16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5">
        <v>2013</v>
      </c>
      <c r="C13833" s="16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5">
        <v>2013</v>
      </c>
      <c r="C13834" s="16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5">
        <v>2013</v>
      </c>
      <c r="C13835" s="16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5">
        <v>2013</v>
      </c>
      <c r="C13836" s="16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5">
        <v>2013</v>
      </c>
      <c r="C13837" s="16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5">
        <v>2013</v>
      </c>
      <c r="C13838" s="16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5">
        <v>2013</v>
      </c>
      <c r="C13839" s="16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5">
        <v>2013</v>
      </c>
      <c r="C13840" s="16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5">
        <v>2013</v>
      </c>
      <c r="C13841" s="16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5">
        <v>2013</v>
      </c>
      <c r="C13842" s="16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5">
        <v>2013</v>
      </c>
      <c r="C13843" s="16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5">
        <v>2013</v>
      </c>
      <c r="C13844" s="16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5">
        <v>2013</v>
      </c>
      <c r="C13845" s="16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5">
        <v>2013</v>
      </c>
      <c r="C13846" s="16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5">
        <v>2013</v>
      </c>
      <c r="C13847" s="16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5">
        <v>2013</v>
      </c>
      <c r="C13848" s="16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5">
        <v>2013</v>
      </c>
      <c r="C13849" s="16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5">
        <v>2013</v>
      </c>
      <c r="C13850" s="16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5">
        <v>2013</v>
      </c>
      <c r="C13851" s="16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5">
        <v>2013</v>
      </c>
      <c r="C13852" s="16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5">
        <v>2013</v>
      </c>
      <c r="C13853" s="16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5">
        <v>2013</v>
      </c>
      <c r="C13854" s="16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5">
        <v>2013</v>
      </c>
      <c r="C13855" s="16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5">
        <v>2013</v>
      </c>
      <c r="C13856" s="16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5">
        <v>2013</v>
      </c>
      <c r="C13857" s="16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5">
        <v>2013</v>
      </c>
      <c r="C13858" s="16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5">
        <v>2013</v>
      </c>
      <c r="C13859" s="16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5">
        <v>2013</v>
      </c>
      <c r="C13860" s="16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5">
        <v>2013</v>
      </c>
      <c r="C13861" s="16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5">
        <v>2013</v>
      </c>
      <c r="C13862" s="16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5">
        <v>2013</v>
      </c>
      <c r="C13863" s="16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5">
        <v>2013</v>
      </c>
      <c r="C13864" s="16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5">
        <v>2013</v>
      </c>
      <c r="C13865" s="16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5">
        <v>2013</v>
      </c>
      <c r="C13866" s="16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5">
        <v>2013</v>
      </c>
      <c r="C13867" s="16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5">
        <v>2013</v>
      </c>
      <c r="C13868" s="16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5">
        <v>2013</v>
      </c>
      <c r="C13869" s="16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5">
        <v>2013</v>
      </c>
      <c r="C13870" s="16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5">
        <v>2013</v>
      </c>
      <c r="C13871" s="16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5">
        <v>2013</v>
      </c>
      <c r="C13872" s="16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5">
        <v>2013</v>
      </c>
      <c r="C13873" s="16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5">
        <v>2013</v>
      </c>
      <c r="C13874" s="16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5">
        <v>2013</v>
      </c>
      <c r="C13875" s="16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5">
        <v>2013</v>
      </c>
      <c r="C13876" s="16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5">
        <v>2013</v>
      </c>
      <c r="C13877" s="16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5">
        <v>2013</v>
      </c>
      <c r="C13878" s="16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5">
        <v>2013</v>
      </c>
      <c r="C13879" s="16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5">
        <v>2013</v>
      </c>
      <c r="C13880" s="16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5">
        <v>2013</v>
      </c>
      <c r="C13881" s="16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5">
        <v>2013</v>
      </c>
      <c r="C13882" s="16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5">
        <v>2013</v>
      </c>
      <c r="C13883" s="16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5">
        <v>2013</v>
      </c>
      <c r="C13884" s="16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5">
        <v>2013</v>
      </c>
      <c r="C13885" s="16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5">
        <v>2013</v>
      </c>
      <c r="C13886" s="16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5">
        <v>2013</v>
      </c>
      <c r="C13887" s="16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5">
        <v>2013</v>
      </c>
      <c r="C13888" s="16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5">
        <v>2013</v>
      </c>
      <c r="C13889" s="16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5">
        <v>2013</v>
      </c>
      <c r="C13890" s="16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5">
        <v>2013</v>
      </c>
      <c r="C13891" s="16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5">
        <v>2013</v>
      </c>
      <c r="C13892" s="16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5">
        <v>2013</v>
      </c>
      <c r="C13893" s="16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5">
        <v>2013</v>
      </c>
      <c r="C13894" s="16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5">
        <v>2013</v>
      </c>
      <c r="C13895" s="16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5">
        <v>2013</v>
      </c>
      <c r="C13896" s="16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5">
        <v>2013</v>
      </c>
      <c r="C13897" s="16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5">
        <v>2013</v>
      </c>
      <c r="C13898" s="16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5">
        <v>2013</v>
      </c>
      <c r="C13899" s="16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5">
        <v>2013</v>
      </c>
      <c r="C13900" s="16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5">
        <v>2013</v>
      </c>
      <c r="C13901" s="16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5">
        <v>2013</v>
      </c>
      <c r="C13902" s="16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5">
        <v>2013</v>
      </c>
      <c r="C13903" s="16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5">
        <v>2013</v>
      </c>
      <c r="C13904" s="16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5">
        <v>2013</v>
      </c>
      <c r="C13905" s="16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5">
        <v>2013</v>
      </c>
      <c r="C13906" s="16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5">
        <v>2013</v>
      </c>
      <c r="C13907" s="16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5">
        <v>2013</v>
      </c>
      <c r="C13908" s="16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5">
        <v>2013</v>
      </c>
      <c r="C13909" s="16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5">
        <v>2013</v>
      </c>
      <c r="C13910" s="16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5">
        <v>2013</v>
      </c>
      <c r="C13911" s="16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5">
        <v>2013</v>
      </c>
      <c r="C13912" s="16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5">
        <v>2013</v>
      </c>
      <c r="C13913" s="16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5">
        <v>2013</v>
      </c>
      <c r="C13914" s="16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5">
        <v>2013</v>
      </c>
      <c r="C13915" s="16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5">
        <v>2013</v>
      </c>
      <c r="C13916" s="16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5">
        <v>2013</v>
      </c>
      <c r="C13917" s="16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5">
        <v>2013</v>
      </c>
      <c r="C13918" s="16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5">
        <v>2013</v>
      </c>
      <c r="C13919" s="16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5">
        <v>2013</v>
      </c>
      <c r="C13920" s="16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5">
        <v>2013</v>
      </c>
      <c r="C13921" s="16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5">
        <v>2013</v>
      </c>
      <c r="C13922" s="16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5">
        <v>2013</v>
      </c>
      <c r="C13923" s="16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5">
        <v>2013</v>
      </c>
      <c r="C13924" s="16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5">
        <v>2013</v>
      </c>
      <c r="C13925" s="16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5">
        <v>2013</v>
      </c>
      <c r="C13926" s="16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5">
        <v>2013</v>
      </c>
      <c r="C13927" s="16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5">
        <v>2013</v>
      </c>
      <c r="C13928" s="16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5">
        <v>2013</v>
      </c>
      <c r="C13929" s="16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5">
        <v>2013</v>
      </c>
      <c r="C13930" s="16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5">
        <v>2013</v>
      </c>
      <c r="C13931" s="16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5">
        <v>2013</v>
      </c>
      <c r="C13932" s="16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5">
        <v>2013</v>
      </c>
      <c r="C13933" s="16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5">
        <v>2013</v>
      </c>
      <c r="C13934" s="16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5">
        <v>2013</v>
      </c>
      <c r="C13935" s="16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5">
        <v>2013</v>
      </c>
      <c r="C13936" s="16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5">
        <v>2013</v>
      </c>
      <c r="C13937" s="16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5">
        <v>2013</v>
      </c>
      <c r="C13938" s="16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5">
        <v>2013</v>
      </c>
      <c r="C13939" s="16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5">
        <v>2013</v>
      </c>
      <c r="C13940" s="16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5">
        <v>2013</v>
      </c>
      <c r="C13941" s="16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5">
        <v>2013</v>
      </c>
      <c r="C13942" s="16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5">
        <v>2013</v>
      </c>
      <c r="C13943" s="16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5">
        <v>2013</v>
      </c>
      <c r="C13944" s="16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5">
        <v>2013</v>
      </c>
      <c r="C13945" s="16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5">
        <v>2013</v>
      </c>
      <c r="C13946" s="16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5">
        <v>2013</v>
      </c>
      <c r="C13947" s="16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5">
        <v>2013</v>
      </c>
      <c r="C13948" s="16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5">
        <v>2013</v>
      </c>
      <c r="C13949" s="16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5">
        <v>2013</v>
      </c>
      <c r="C13950" s="16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5">
        <v>2013</v>
      </c>
      <c r="C13951" s="16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5">
        <v>2013</v>
      </c>
      <c r="C13952" s="16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5">
        <v>2013</v>
      </c>
      <c r="C13953" s="16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5">
        <v>2013</v>
      </c>
      <c r="C13954" s="16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5">
        <v>2013</v>
      </c>
      <c r="C13955" s="16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5">
        <v>2013</v>
      </c>
      <c r="C13956" s="16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5">
        <v>2013</v>
      </c>
      <c r="C13957" s="16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5">
        <v>2013</v>
      </c>
      <c r="C13958" s="16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5">
        <v>2013</v>
      </c>
      <c r="C13959" s="16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5">
        <v>2013</v>
      </c>
      <c r="C13960" s="16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5">
        <v>2013</v>
      </c>
      <c r="C13961" s="16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5">
        <v>2013</v>
      </c>
      <c r="C13962" s="16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5">
        <v>2013</v>
      </c>
      <c r="C13963" s="16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5">
        <v>2013</v>
      </c>
      <c r="C13964" s="16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5">
        <v>2013</v>
      </c>
      <c r="C13965" s="16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5">
        <v>2013</v>
      </c>
      <c r="C13966" s="16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5">
        <v>2013</v>
      </c>
      <c r="C13967" s="16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5">
        <v>2013</v>
      </c>
      <c r="C13968" s="16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5">
        <v>2013</v>
      </c>
      <c r="C13969" s="16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5">
        <v>2013</v>
      </c>
      <c r="C13970" s="16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5">
        <v>2013</v>
      </c>
      <c r="C13971" s="16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5">
        <v>2013</v>
      </c>
      <c r="C13972" s="16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5">
        <v>2013</v>
      </c>
      <c r="C13973" s="16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5">
        <v>2013</v>
      </c>
      <c r="C13974" s="16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5">
        <v>2013</v>
      </c>
      <c r="C13975" s="16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5">
        <v>2013</v>
      </c>
      <c r="C13976" s="16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5">
        <v>2013</v>
      </c>
      <c r="C13977" s="16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5">
        <v>2013</v>
      </c>
      <c r="C13978" s="16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5">
        <v>2013</v>
      </c>
      <c r="C13979" s="16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5">
        <v>2013</v>
      </c>
      <c r="C13980" s="16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5">
        <v>2013</v>
      </c>
      <c r="C13981" s="16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5">
        <v>2013</v>
      </c>
      <c r="C13982" s="16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5">
        <v>2013</v>
      </c>
      <c r="C13983" s="16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5">
        <v>2013</v>
      </c>
      <c r="C13984" s="16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5">
        <v>2013</v>
      </c>
      <c r="C13985" s="16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5">
        <v>2013</v>
      </c>
      <c r="C13986" s="16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5">
        <v>2013</v>
      </c>
      <c r="C13987" s="16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5">
        <v>2013</v>
      </c>
      <c r="C13988" s="16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5">
        <v>2013</v>
      </c>
      <c r="C13989" s="16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5">
        <v>2013</v>
      </c>
      <c r="C13990" s="16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5">
        <v>2013</v>
      </c>
      <c r="C13991" s="16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5">
        <v>2013</v>
      </c>
      <c r="C13992" s="16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5">
        <v>2013</v>
      </c>
      <c r="C13993" s="16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5">
        <v>2013</v>
      </c>
      <c r="C13994" s="16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5">
        <v>2013</v>
      </c>
      <c r="C13995" s="16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5">
        <v>2013</v>
      </c>
      <c r="C13996" s="16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5">
        <v>2013</v>
      </c>
      <c r="C13997" s="16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5">
        <v>2013</v>
      </c>
      <c r="C13998" s="16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5">
        <v>2013</v>
      </c>
      <c r="C13999" s="16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5">
        <v>2013</v>
      </c>
      <c r="C14000" s="16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5">
        <v>2013</v>
      </c>
      <c r="C14001" s="16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5">
        <v>2013</v>
      </c>
      <c r="C14002" s="16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5">
        <v>2013</v>
      </c>
      <c r="C14003" s="16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5">
        <v>2013</v>
      </c>
      <c r="C14004" s="16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5">
        <v>2013</v>
      </c>
      <c r="C14005" s="16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5">
        <v>2013</v>
      </c>
      <c r="C14006" s="16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5">
        <v>2013</v>
      </c>
      <c r="C14007" s="16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5">
        <v>2013</v>
      </c>
      <c r="C14008" s="16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5">
        <v>2013</v>
      </c>
      <c r="C14009" s="16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5">
        <v>2013</v>
      </c>
      <c r="C14010" s="16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5">
        <v>2013</v>
      </c>
      <c r="C14011" s="16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5">
        <v>2013</v>
      </c>
      <c r="C14012" s="16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5">
        <v>2013</v>
      </c>
      <c r="C14013" s="16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5">
        <v>2013</v>
      </c>
      <c r="C14014" s="16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5">
        <v>2013</v>
      </c>
      <c r="C14015" s="16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5">
        <v>2013</v>
      </c>
      <c r="C14016" s="16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5">
        <v>2013</v>
      </c>
      <c r="C14017" s="16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5">
        <v>2013</v>
      </c>
      <c r="C14018" s="16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5">
        <v>2013</v>
      </c>
      <c r="C14019" s="16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5">
        <v>2013</v>
      </c>
      <c r="C14020" s="16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5">
        <v>2013</v>
      </c>
      <c r="C14021" s="16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5">
        <v>2013</v>
      </c>
      <c r="C14022" s="16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5">
        <v>2013</v>
      </c>
      <c r="C14023" s="16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5">
        <v>2013</v>
      </c>
      <c r="C14024" s="16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5">
        <v>2013</v>
      </c>
      <c r="C14025" s="16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5">
        <v>2013</v>
      </c>
      <c r="C14026" s="16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5">
        <v>2013</v>
      </c>
      <c r="C14027" s="16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5">
        <v>2013</v>
      </c>
      <c r="C14028" s="16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5">
        <v>2013</v>
      </c>
      <c r="C14029" s="16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5">
        <v>2013</v>
      </c>
      <c r="C14030" s="16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5">
        <v>2013</v>
      </c>
      <c r="C14031" s="16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5">
        <v>2013</v>
      </c>
      <c r="C14032" s="16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5">
        <v>2013</v>
      </c>
      <c r="C14033" s="16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5">
        <v>2013</v>
      </c>
      <c r="C14034" s="16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5">
        <v>2013</v>
      </c>
      <c r="C14035" s="16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5">
        <v>2013</v>
      </c>
      <c r="C14036" s="16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5">
        <v>2013</v>
      </c>
      <c r="C14037" s="16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5">
        <v>2013</v>
      </c>
      <c r="C14038" s="16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5">
        <v>2013</v>
      </c>
      <c r="C14039" s="16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5">
        <v>2013</v>
      </c>
      <c r="C14040" s="16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5">
        <v>2013</v>
      </c>
      <c r="C14041" s="16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5">
        <v>2013</v>
      </c>
      <c r="C14042" s="16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5">
        <v>2013</v>
      </c>
      <c r="C14043" s="16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5">
        <v>2013</v>
      </c>
      <c r="C14044" s="16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5">
        <v>2013</v>
      </c>
      <c r="C14045" s="16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5">
        <v>2013</v>
      </c>
      <c r="C14046" s="16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5">
        <v>2013</v>
      </c>
      <c r="C14047" s="16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5">
        <v>2013</v>
      </c>
      <c r="C14048" s="16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5">
        <v>2013</v>
      </c>
      <c r="C14049" s="16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5">
        <v>2013</v>
      </c>
      <c r="C14050" s="16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5">
        <v>2013</v>
      </c>
      <c r="C14051" s="16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5">
        <v>2013</v>
      </c>
      <c r="C14052" s="16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5">
        <v>2013</v>
      </c>
      <c r="C14053" s="16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5">
        <v>2013</v>
      </c>
      <c r="C14054" s="16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5">
        <v>2013</v>
      </c>
      <c r="C14055" s="16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5">
        <v>2013</v>
      </c>
      <c r="C14056" s="16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5">
        <v>2013</v>
      </c>
      <c r="C14057" s="16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5">
        <v>2013</v>
      </c>
      <c r="C14058" s="16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5">
        <v>2013</v>
      </c>
      <c r="C14059" s="16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5">
        <v>2013</v>
      </c>
      <c r="C14060" s="16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5">
        <v>2013</v>
      </c>
      <c r="C14061" s="16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5">
        <v>2013</v>
      </c>
      <c r="C14062" s="16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5">
        <v>2013</v>
      </c>
      <c r="C14063" s="16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5">
        <v>2013</v>
      </c>
      <c r="C14064" s="16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5">
        <v>2013</v>
      </c>
      <c r="C14065" s="16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5">
        <v>2013</v>
      </c>
      <c r="C14066" s="16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5">
        <v>2013</v>
      </c>
      <c r="C14067" s="16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5">
        <v>2013</v>
      </c>
      <c r="C14068" s="16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5">
        <v>2013</v>
      </c>
      <c r="C14069" s="16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5">
        <v>2013</v>
      </c>
      <c r="C14070" s="16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5">
        <v>2013</v>
      </c>
      <c r="C14071" s="16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5">
        <v>2013</v>
      </c>
      <c r="C14072" s="16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5">
        <v>2013</v>
      </c>
      <c r="C14073" s="16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5">
        <v>2013</v>
      </c>
      <c r="C14074" s="16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5">
        <v>2013</v>
      </c>
      <c r="C14075" s="16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5">
        <v>2013</v>
      </c>
      <c r="C14076" s="16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5">
        <v>2013</v>
      </c>
      <c r="C14077" s="16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5">
        <v>2013</v>
      </c>
      <c r="C14078" s="16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5">
        <v>2013</v>
      </c>
      <c r="C14079" s="16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5">
        <v>2013</v>
      </c>
      <c r="C14080" s="16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5">
        <v>2013</v>
      </c>
      <c r="C14081" s="16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5">
        <v>2013</v>
      </c>
      <c r="C14082" s="16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5">
        <v>2013</v>
      </c>
      <c r="C14083" s="16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5">
        <v>2013</v>
      </c>
      <c r="C14084" s="16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5">
        <v>2013</v>
      </c>
      <c r="C14085" s="16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5">
        <v>2013</v>
      </c>
      <c r="C14086" s="16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5">
        <v>2013</v>
      </c>
      <c r="C14087" s="16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5">
        <v>2013</v>
      </c>
      <c r="C14088" s="16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5">
        <v>2013</v>
      </c>
      <c r="C14089" s="16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5">
        <v>2013</v>
      </c>
      <c r="C14090" s="16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5">
        <v>2013</v>
      </c>
      <c r="C14091" s="16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5">
        <v>2013</v>
      </c>
      <c r="C14092" s="16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5">
        <v>2013</v>
      </c>
      <c r="C14093" s="16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5">
        <v>2013</v>
      </c>
      <c r="C14094" s="16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5">
        <v>2013</v>
      </c>
      <c r="C14095" s="16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5">
        <v>2013</v>
      </c>
      <c r="C14096" s="16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5">
        <v>2013</v>
      </c>
      <c r="C14097" s="16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5">
        <v>2013</v>
      </c>
      <c r="C14098" s="16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5">
        <v>2013</v>
      </c>
      <c r="C14099" s="16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5">
        <v>2013</v>
      </c>
      <c r="C14100" s="16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5">
        <v>2013</v>
      </c>
      <c r="C14101" s="16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5">
        <v>2013</v>
      </c>
      <c r="C14102" s="16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5">
        <v>2013</v>
      </c>
      <c r="C14103" s="16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5">
        <v>2013</v>
      </c>
      <c r="C14104" s="16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5">
        <v>2013</v>
      </c>
      <c r="C14105" s="16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5">
        <v>2013</v>
      </c>
      <c r="C14106" s="16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5">
        <v>2013</v>
      </c>
      <c r="C14107" s="16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5">
        <v>2013</v>
      </c>
      <c r="C14108" s="16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5">
        <v>2013</v>
      </c>
      <c r="C14109" s="16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5">
        <v>2013</v>
      </c>
      <c r="C14110" s="16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5">
        <v>2013</v>
      </c>
      <c r="C14111" s="16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5">
        <v>2013</v>
      </c>
      <c r="C14112" s="16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5">
        <v>2013</v>
      </c>
      <c r="C14113" s="16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5">
        <v>2013</v>
      </c>
      <c r="C14114" s="16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5">
        <v>2013</v>
      </c>
      <c r="C14115" s="16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5">
        <v>2013</v>
      </c>
      <c r="C14116" s="16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5">
        <v>2013</v>
      </c>
      <c r="C14117" s="16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5">
        <v>2013</v>
      </c>
      <c r="C14118" s="16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5">
        <v>2013</v>
      </c>
      <c r="C14119" s="16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5">
        <v>2013</v>
      </c>
      <c r="C14120" s="16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5">
        <v>2013</v>
      </c>
      <c r="C14121" s="16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5">
        <v>2013</v>
      </c>
      <c r="C14122" s="16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5">
        <v>2013</v>
      </c>
      <c r="C14123" s="16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5">
        <v>2013</v>
      </c>
      <c r="C14124" s="16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5">
        <v>2013</v>
      </c>
      <c r="C14125" s="16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5">
        <v>2013</v>
      </c>
      <c r="C14126" s="16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5">
        <v>2013</v>
      </c>
      <c r="C14127" s="16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5">
        <v>2013</v>
      </c>
      <c r="C14128" s="16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5">
        <v>2013</v>
      </c>
      <c r="C14129" s="16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5">
        <v>2013</v>
      </c>
      <c r="C14130" s="16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5">
        <v>2013</v>
      </c>
      <c r="C14131" s="16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5">
        <v>2013</v>
      </c>
      <c r="C14132" s="16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5">
        <v>2013</v>
      </c>
      <c r="C14133" s="16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5">
        <v>2013</v>
      </c>
      <c r="C14134" s="16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5">
        <v>2013</v>
      </c>
      <c r="C14135" s="16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5">
        <v>2013</v>
      </c>
      <c r="C14136" s="16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5">
        <v>2013</v>
      </c>
      <c r="C14137" s="16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5">
        <v>2013</v>
      </c>
      <c r="C14138" s="16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5">
        <v>2013</v>
      </c>
      <c r="C14139" s="16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5">
        <v>2013</v>
      </c>
      <c r="C14140" s="16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5">
        <v>2013</v>
      </c>
      <c r="C14141" s="16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5">
        <v>2013</v>
      </c>
      <c r="C14142" s="16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5">
        <v>2013</v>
      </c>
      <c r="C14143" s="16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5">
        <v>2013</v>
      </c>
      <c r="C14144" s="16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5">
        <v>2013</v>
      </c>
      <c r="C14145" s="16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5">
        <v>2013</v>
      </c>
      <c r="C14146" s="16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5">
        <v>2013</v>
      </c>
      <c r="C14147" s="16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5">
        <v>2013</v>
      </c>
      <c r="C14148" s="16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5">
        <v>2013</v>
      </c>
      <c r="C14149" s="16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5">
        <v>2013</v>
      </c>
      <c r="C14150" s="16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5">
        <v>2013</v>
      </c>
      <c r="C14151" s="16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5">
        <v>2013</v>
      </c>
      <c r="C14152" s="16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5">
        <v>2013</v>
      </c>
      <c r="C14153" s="16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5">
        <v>2013</v>
      </c>
      <c r="C14154" s="16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5">
        <v>2013</v>
      </c>
      <c r="C14155" s="16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5">
        <v>2013</v>
      </c>
      <c r="C14156" s="16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5">
        <v>2013</v>
      </c>
      <c r="C14157" s="16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5">
        <v>2013</v>
      </c>
      <c r="C14158" s="16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5">
        <v>2013</v>
      </c>
      <c r="C14159" s="16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5">
        <v>2013</v>
      </c>
      <c r="C14160" s="16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5">
        <v>2013</v>
      </c>
      <c r="C14161" s="16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5">
        <v>2013</v>
      </c>
      <c r="C14162" s="16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5">
        <v>2013</v>
      </c>
      <c r="C14163" s="16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5">
        <v>2013</v>
      </c>
      <c r="C14164" s="16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5">
        <v>2013</v>
      </c>
      <c r="C14165" s="16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5">
        <v>2013</v>
      </c>
      <c r="C14166" s="16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5">
        <v>2013</v>
      </c>
      <c r="C14167" s="16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5">
        <v>2013</v>
      </c>
      <c r="C14168" s="16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5">
        <v>2013</v>
      </c>
      <c r="C14169" s="16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5">
        <v>2013</v>
      </c>
      <c r="C14170" s="16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5">
        <v>2013</v>
      </c>
      <c r="C14171" s="16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5">
        <v>2013</v>
      </c>
      <c r="C14172" s="16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5">
        <v>2013</v>
      </c>
      <c r="C14173" s="16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5">
        <v>2013</v>
      </c>
      <c r="C14174" s="16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5">
        <v>2013</v>
      </c>
      <c r="C14175" s="16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5">
        <v>2013</v>
      </c>
      <c r="C14176" s="16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5">
        <v>2013</v>
      </c>
      <c r="C14177" s="16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5">
        <v>2013</v>
      </c>
      <c r="C14178" s="16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5">
        <v>2013</v>
      </c>
      <c r="C14179" s="16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5">
        <v>2013</v>
      </c>
      <c r="C14180" s="16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5">
        <v>2013</v>
      </c>
      <c r="C14181" s="16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5">
        <v>2013</v>
      </c>
      <c r="C14182" s="16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5">
        <v>2013</v>
      </c>
      <c r="C14183" s="16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5">
        <v>2013</v>
      </c>
      <c r="C14184" s="16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5">
        <v>2013</v>
      </c>
      <c r="C14185" s="16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5">
        <v>2013</v>
      </c>
      <c r="C14186" s="16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5">
        <v>2013</v>
      </c>
      <c r="C14187" s="16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5">
        <v>2013</v>
      </c>
      <c r="C14188" s="16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5">
        <v>2013</v>
      </c>
      <c r="C14189" s="16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5">
        <v>2013</v>
      </c>
      <c r="C14190" s="16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5">
        <v>2013</v>
      </c>
      <c r="C14191" s="16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5">
        <v>2013</v>
      </c>
      <c r="C14192" s="16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5">
        <v>2013</v>
      </c>
      <c r="C14193" s="16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5">
        <v>2013</v>
      </c>
      <c r="C14194" s="16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5">
        <v>2013</v>
      </c>
      <c r="C14195" s="16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5">
        <v>2013</v>
      </c>
      <c r="C14196" s="16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5">
        <v>2013</v>
      </c>
      <c r="C14197" s="16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5">
        <v>2013</v>
      </c>
      <c r="C14198" s="16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5">
        <v>2013</v>
      </c>
      <c r="C14199" s="16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5">
        <v>2013</v>
      </c>
      <c r="C14200" s="16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5">
        <v>2013</v>
      </c>
      <c r="C14201" s="16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5">
        <v>2013</v>
      </c>
      <c r="C14202" s="16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5">
        <v>2013</v>
      </c>
      <c r="C14203" s="16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5">
        <v>2013</v>
      </c>
      <c r="C14204" s="16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5">
        <v>2013</v>
      </c>
      <c r="C14205" s="16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5">
        <v>2013</v>
      </c>
      <c r="C14206" s="16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5">
        <v>2013</v>
      </c>
      <c r="C14207" s="16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5">
        <v>2013</v>
      </c>
      <c r="C14208" s="16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5">
        <v>2013</v>
      </c>
      <c r="C14209" s="16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5">
        <v>2013</v>
      </c>
      <c r="C14210" s="16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5">
        <v>2013</v>
      </c>
      <c r="C14211" s="16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5">
        <v>2013</v>
      </c>
      <c r="C14212" s="16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5">
        <v>2013</v>
      </c>
      <c r="C14213" s="16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5">
        <v>2013</v>
      </c>
      <c r="C14214" s="16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5">
        <v>2013</v>
      </c>
      <c r="C14215" s="16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5">
        <v>2013</v>
      </c>
      <c r="C14216" s="16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5">
        <v>2013</v>
      </c>
      <c r="C14217" s="16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5">
        <v>2013</v>
      </c>
      <c r="C14218" s="16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5">
        <v>2013</v>
      </c>
      <c r="C14219" s="16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5">
        <v>2013</v>
      </c>
      <c r="C14220" s="16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5">
        <v>2013</v>
      </c>
      <c r="C14221" s="16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5">
        <v>2013</v>
      </c>
      <c r="C14222" s="16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5">
        <v>2013</v>
      </c>
      <c r="C14223" s="16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5">
        <v>2013</v>
      </c>
      <c r="C14224" s="16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5">
        <v>2013</v>
      </c>
      <c r="C14225" s="16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5">
        <v>2013</v>
      </c>
      <c r="C14226" s="16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5">
        <v>2013</v>
      </c>
      <c r="C14227" s="16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5">
        <v>2013</v>
      </c>
      <c r="C14228" s="16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5">
        <v>2013</v>
      </c>
      <c r="C14229" s="16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5">
        <v>2013</v>
      </c>
      <c r="C14230" s="16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5">
        <v>2013</v>
      </c>
      <c r="C14231" s="16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5">
        <v>2013</v>
      </c>
      <c r="C14232" s="16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5">
        <v>2013</v>
      </c>
      <c r="C14233" s="16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5">
        <v>2013</v>
      </c>
      <c r="C14234" s="16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5">
        <v>2013</v>
      </c>
      <c r="C14235" s="16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5">
        <v>2013</v>
      </c>
      <c r="C14236" s="16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5">
        <v>2013</v>
      </c>
      <c r="C14237" s="16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5">
        <v>2013</v>
      </c>
      <c r="C14238" s="16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5">
        <v>2013</v>
      </c>
      <c r="C14239" s="16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5">
        <v>2013</v>
      </c>
      <c r="C14240" s="16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5">
        <v>2013</v>
      </c>
      <c r="C14241" s="16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5">
        <v>2013</v>
      </c>
      <c r="C14242" s="16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5">
        <v>2013</v>
      </c>
      <c r="C14243" s="16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5">
        <v>2013</v>
      </c>
      <c r="C14244" s="16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5">
        <v>2013</v>
      </c>
      <c r="C14245" s="16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5">
        <v>2013</v>
      </c>
      <c r="C14246" s="16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5">
        <v>2013</v>
      </c>
      <c r="C14247" s="16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5">
        <v>2013</v>
      </c>
      <c r="C14248" s="16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5">
        <v>2013</v>
      </c>
      <c r="C14249" s="16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5">
        <v>2013</v>
      </c>
      <c r="C14250" s="16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5">
        <v>2013</v>
      </c>
      <c r="C14251" s="16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5">
        <v>2013</v>
      </c>
      <c r="C14252" s="16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5">
        <v>2013</v>
      </c>
      <c r="C14253" s="16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5">
        <v>2013</v>
      </c>
      <c r="C14254" s="16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5">
        <v>2013</v>
      </c>
      <c r="C14255" s="16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5">
        <v>2013</v>
      </c>
      <c r="C14256" s="16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5">
        <v>2013</v>
      </c>
      <c r="C14257" s="16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5">
        <v>2013</v>
      </c>
      <c r="C14258" s="16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5">
        <v>2013</v>
      </c>
      <c r="C14259" s="16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5">
        <v>2013</v>
      </c>
      <c r="C14260" s="16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5">
        <v>2013</v>
      </c>
      <c r="C14261" s="16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5">
        <v>2013</v>
      </c>
      <c r="C14262" s="16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5">
        <v>2013</v>
      </c>
      <c r="C14263" s="16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5">
        <v>2013</v>
      </c>
      <c r="C14264" s="16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5">
        <v>2013</v>
      </c>
      <c r="C14265" s="16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5">
        <v>2013</v>
      </c>
      <c r="C14266" s="16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5">
        <v>2013</v>
      </c>
      <c r="C14267" s="16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5">
        <v>2013</v>
      </c>
      <c r="C14268" s="16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5">
        <v>2013</v>
      </c>
      <c r="C14269" s="16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5">
        <v>2013</v>
      </c>
      <c r="C14270" s="16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5">
        <v>2013</v>
      </c>
      <c r="C14271" s="16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5">
        <v>2013</v>
      </c>
      <c r="C14272" s="16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5">
        <v>2013</v>
      </c>
      <c r="C14273" s="16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5">
        <v>2013</v>
      </c>
      <c r="C14274" s="16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5">
        <v>2013</v>
      </c>
      <c r="C14275" s="16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5">
        <v>2013</v>
      </c>
      <c r="C14276" s="16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5">
        <v>2013</v>
      </c>
      <c r="C14277" s="16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5">
        <v>2013</v>
      </c>
      <c r="C14278" s="16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5">
        <v>2013</v>
      </c>
      <c r="C14279" s="16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5">
        <v>2013</v>
      </c>
      <c r="C14280" s="16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5">
        <v>2013</v>
      </c>
      <c r="C14281" s="16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5">
        <v>2013</v>
      </c>
      <c r="C14282" s="16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5">
        <v>2013</v>
      </c>
      <c r="C14283" s="16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5">
        <v>2013</v>
      </c>
      <c r="C14284" s="16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5">
        <v>2013</v>
      </c>
      <c r="C14285" s="16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5">
        <v>2013</v>
      </c>
      <c r="C14286" s="16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5">
        <v>2013</v>
      </c>
      <c r="C14287" s="16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5">
        <v>2013</v>
      </c>
      <c r="C14288" s="16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5">
        <v>2013</v>
      </c>
      <c r="C14289" s="16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5">
        <v>2013</v>
      </c>
      <c r="C14290" s="16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5">
        <v>2013</v>
      </c>
      <c r="C14291" s="16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5">
        <v>2013</v>
      </c>
      <c r="C14292" s="16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5">
        <v>2013</v>
      </c>
      <c r="C14293" s="16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5">
        <v>2013</v>
      </c>
      <c r="C14294" s="16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5">
        <v>2013</v>
      </c>
      <c r="C14295" s="16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5">
        <v>2013</v>
      </c>
      <c r="C14296" s="16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5">
        <v>2013</v>
      </c>
      <c r="C14297" s="16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5">
        <v>2013</v>
      </c>
      <c r="C14298" s="16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5">
        <v>2013</v>
      </c>
      <c r="C14299" s="16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5">
        <v>2013</v>
      </c>
      <c r="C14300" s="16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5">
        <v>2013</v>
      </c>
      <c r="C14301" s="16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5">
        <v>2013</v>
      </c>
      <c r="C14302" s="16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5">
        <v>2013</v>
      </c>
      <c r="C14303" s="16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5">
        <v>2013</v>
      </c>
      <c r="C14304" s="16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5">
        <v>2013</v>
      </c>
      <c r="C14305" s="16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5">
        <v>2013</v>
      </c>
      <c r="C14306" s="16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5">
        <v>2013</v>
      </c>
      <c r="C14307" s="16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5">
        <v>2013</v>
      </c>
      <c r="C14308" s="16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5">
        <v>2013</v>
      </c>
      <c r="C14309" s="16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5">
        <v>2013</v>
      </c>
      <c r="C14310" s="16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5">
        <v>2013</v>
      </c>
      <c r="C14311" s="16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5">
        <v>2013</v>
      </c>
      <c r="C14312" s="16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5">
        <v>2013</v>
      </c>
      <c r="C14313" s="16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5">
        <v>2013</v>
      </c>
      <c r="C14314" s="16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5">
        <v>2013</v>
      </c>
      <c r="C14315" s="16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5">
        <v>2013</v>
      </c>
      <c r="C14316" s="16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5">
        <v>2013</v>
      </c>
      <c r="C14317" s="16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5">
        <v>2013</v>
      </c>
      <c r="C14318" s="16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5">
        <v>2013</v>
      </c>
      <c r="C14319" s="16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5">
        <v>2013</v>
      </c>
      <c r="C14320" s="16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5">
        <v>2013</v>
      </c>
      <c r="C14321" s="16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5">
        <v>2013</v>
      </c>
      <c r="C14322" s="16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5">
        <v>2013</v>
      </c>
      <c r="C14323" s="16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5">
        <v>2013</v>
      </c>
      <c r="C14324" s="16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5">
        <v>2013</v>
      </c>
      <c r="C14325" s="16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5">
        <v>2013</v>
      </c>
      <c r="C14326" s="16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5">
        <v>2013</v>
      </c>
      <c r="C14327" s="16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5">
        <v>2013</v>
      </c>
      <c r="C14328" s="16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5">
        <v>2013</v>
      </c>
      <c r="C14329" s="16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5">
        <v>2013</v>
      </c>
      <c r="C14330" s="16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5">
        <v>2013</v>
      </c>
      <c r="C14331" s="16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5">
        <v>2013</v>
      </c>
      <c r="C14332" s="16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5">
        <v>2013</v>
      </c>
      <c r="C14333" s="16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5">
        <v>2013</v>
      </c>
      <c r="C14334" s="16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5">
        <v>2013</v>
      </c>
      <c r="C14335" s="16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5">
        <v>2013</v>
      </c>
      <c r="C14336" s="16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5">
        <v>2013</v>
      </c>
      <c r="C14337" s="16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5">
        <v>2013</v>
      </c>
      <c r="C14338" s="16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5">
        <v>2013</v>
      </c>
      <c r="C14339" s="16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5">
        <v>2013</v>
      </c>
      <c r="C14340" s="16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5">
        <v>2013</v>
      </c>
      <c r="C14341" s="16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5">
        <v>2013</v>
      </c>
      <c r="C14342" s="16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5">
        <v>2013</v>
      </c>
      <c r="C14343" s="16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5">
        <v>2013</v>
      </c>
      <c r="C14344" s="16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5">
        <v>2013</v>
      </c>
      <c r="C14345" s="16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5">
        <v>2013</v>
      </c>
      <c r="C14346" s="16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5">
        <v>2013</v>
      </c>
      <c r="C14347" s="16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5">
        <v>2013</v>
      </c>
      <c r="C14348" s="16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5">
        <v>2013</v>
      </c>
      <c r="C14349" s="16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5">
        <v>2013</v>
      </c>
      <c r="C14350" s="16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5">
        <v>2013</v>
      </c>
      <c r="C14351" s="16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5">
        <v>2013</v>
      </c>
      <c r="C14352" s="16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5">
        <v>2013</v>
      </c>
      <c r="C14353" s="16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5">
        <v>2013</v>
      </c>
      <c r="C14354" s="16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5">
        <v>2013</v>
      </c>
      <c r="C14355" s="16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5">
        <v>2013</v>
      </c>
      <c r="C14356" s="16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5">
        <v>2013</v>
      </c>
      <c r="C14357" s="16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5">
        <v>2013</v>
      </c>
      <c r="C14358" s="16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5">
        <v>2013</v>
      </c>
      <c r="C14359" s="16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5">
        <v>2013</v>
      </c>
      <c r="C14360" s="16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5">
        <v>2013</v>
      </c>
      <c r="C14361" s="16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5">
        <v>2013</v>
      </c>
      <c r="C14362" s="16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5">
        <v>2013</v>
      </c>
      <c r="C14363" s="16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5">
        <v>2013</v>
      </c>
      <c r="C14364" s="16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5">
        <v>2013</v>
      </c>
      <c r="C14365" s="16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5">
        <v>2013</v>
      </c>
      <c r="C14366" s="16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5">
        <v>2013</v>
      </c>
      <c r="C14367" s="16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5">
        <v>2013</v>
      </c>
      <c r="C14368" s="16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5">
        <v>2013</v>
      </c>
      <c r="C14369" s="16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5">
        <v>2013</v>
      </c>
      <c r="C14370" s="16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5">
        <v>2013</v>
      </c>
      <c r="C14371" s="16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5">
        <v>2013</v>
      </c>
      <c r="C14372" s="16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5">
        <v>2013</v>
      </c>
      <c r="C14373" s="16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5">
        <v>2013</v>
      </c>
      <c r="C14374" s="16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5">
        <v>2013</v>
      </c>
      <c r="C14375" s="16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5">
        <v>2013</v>
      </c>
      <c r="C14376" s="16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5">
        <v>2013</v>
      </c>
      <c r="C14377" s="16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5">
        <v>2013</v>
      </c>
      <c r="C14378" s="16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5">
        <v>2013</v>
      </c>
      <c r="C14379" s="16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5">
        <v>2013</v>
      </c>
      <c r="C14380" s="16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5">
        <v>2013</v>
      </c>
      <c r="C14381" s="16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5">
        <v>2013</v>
      </c>
      <c r="C14382" s="16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5">
        <v>2013</v>
      </c>
      <c r="C14383" s="16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5">
        <v>2013</v>
      </c>
      <c r="C14384" s="16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5">
        <v>2013</v>
      </c>
      <c r="C14385" s="16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5">
        <v>2013</v>
      </c>
      <c r="C14386" s="16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5">
        <v>2013</v>
      </c>
      <c r="C14387" s="16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5">
        <v>2013</v>
      </c>
      <c r="C14388" s="16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5">
        <v>2013</v>
      </c>
      <c r="C14389" s="16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5">
        <v>2013</v>
      </c>
      <c r="C14390" s="16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5">
        <v>2013</v>
      </c>
      <c r="C14391" s="16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5">
        <v>2013</v>
      </c>
      <c r="C14392" s="16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5">
        <v>2013</v>
      </c>
      <c r="C14393" s="16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5">
        <v>2013</v>
      </c>
      <c r="C14394" s="16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5">
        <v>2013</v>
      </c>
      <c r="C14395" s="16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5">
        <v>2013</v>
      </c>
      <c r="C14396" s="16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5">
        <v>2013</v>
      </c>
      <c r="C14397" s="16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5">
        <v>2013</v>
      </c>
      <c r="C14398" s="16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5">
        <v>2013</v>
      </c>
      <c r="C14399" s="16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5">
        <v>2013</v>
      </c>
      <c r="C14400" s="16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5">
        <v>2013</v>
      </c>
      <c r="C14401" s="16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5">
        <v>2013</v>
      </c>
      <c r="C14402" s="16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5">
        <v>2013</v>
      </c>
      <c r="C14403" s="16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5">
        <v>2013</v>
      </c>
      <c r="C14404" s="16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5">
        <v>2013</v>
      </c>
      <c r="C14405" s="16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5">
        <v>2013</v>
      </c>
      <c r="C14406" s="16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5">
        <v>2013</v>
      </c>
      <c r="C14407" s="16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5">
        <v>2013</v>
      </c>
      <c r="C14408" s="16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5">
        <v>2013</v>
      </c>
      <c r="C14409" s="16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5">
        <v>2013</v>
      </c>
      <c r="C14410" s="16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5">
        <v>2013</v>
      </c>
      <c r="C14411" s="16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5">
        <v>2013</v>
      </c>
      <c r="C14412" s="16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5">
        <v>2013</v>
      </c>
      <c r="C14413" s="16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5">
        <v>2013</v>
      </c>
      <c r="C14414" s="16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5">
        <v>2013</v>
      </c>
      <c r="C14415" s="16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5">
        <v>2013</v>
      </c>
      <c r="C14416" s="16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5">
        <v>2013</v>
      </c>
      <c r="C14417" s="16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5">
        <v>2013</v>
      </c>
      <c r="C14418" s="16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5">
        <v>2013</v>
      </c>
      <c r="C14419" s="16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5">
        <v>2013</v>
      </c>
      <c r="C14420" s="16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5">
        <v>2013</v>
      </c>
      <c r="C14421" s="16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5">
        <v>2013</v>
      </c>
      <c r="C14422" s="16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5">
        <v>2013</v>
      </c>
      <c r="C14423" s="16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5">
        <v>2013</v>
      </c>
      <c r="C14424" s="16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5">
        <v>2013</v>
      </c>
      <c r="C14425" s="16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5">
        <v>2013</v>
      </c>
      <c r="C14426" s="16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5">
        <v>2013</v>
      </c>
      <c r="C14427" s="16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5">
        <v>2013</v>
      </c>
      <c r="C14428" s="16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5">
        <v>2013</v>
      </c>
      <c r="C14429" s="16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5">
        <v>2013</v>
      </c>
      <c r="C14430" s="16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5">
        <v>2013</v>
      </c>
      <c r="C14431" s="16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5">
        <v>2013</v>
      </c>
      <c r="C14432" s="16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5">
        <v>2013</v>
      </c>
      <c r="C14433" s="16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5">
        <v>2013</v>
      </c>
      <c r="C14434" s="16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5">
        <v>2013</v>
      </c>
      <c r="C14435" s="16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5">
        <v>2013</v>
      </c>
      <c r="C14436" s="16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5">
        <v>2013</v>
      </c>
      <c r="C14437" s="16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5">
        <v>2013</v>
      </c>
      <c r="C14438" s="16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5">
        <v>2013</v>
      </c>
      <c r="C14439" s="16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5">
        <v>2013</v>
      </c>
      <c r="C14440" s="16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5">
        <v>2013</v>
      </c>
      <c r="C14441" s="16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5">
        <v>2013</v>
      </c>
      <c r="C14442" s="16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5">
        <v>2013</v>
      </c>
      <c r="C14443" s="16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5">
        <v>2013</v>
      </c>
      <c r="C14444" s="16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5">
        <v>2013</v>
      </c>
      <c r="C14445" s="16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5">
        <v>2013</v>
      </c>
      <c r="C14446" s="16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5">
        <v>2013</v>
      </c>
      <c r="C14447" s="16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5">
        <v>2013</v>
      </c>
      <c r="C14448" s="16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5">
        <v>2013</v>
      </c>
      <c r="C14449" s="16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5">
        <v>2013</v>
      </c>
      <c r="C14450" s="16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5">
        <v>2013</v>
      </c>
      <c r="C14451" s="16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5">
        <v>2013</v>
      </c>
      <c r="C14452" s="16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5">
        <v>2013</v>
      </c>
      <c r="C14453" s="16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5">
        <v>2013</v>
      </c>
      <c r="C14454" s="16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5">
        <v>2013</v>
      </c>
      <c r="C14455" s="16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5">
        <v>2013</v>
      </c>
      <c r="C14456" s="16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5">
        <v>2013</v>
      </c>
      <c r="C14457" s="16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5">
        <v>2013</v>
      </c>
      <c r="C14458" s="16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5">
        <v>2013</v>
      </c>
      <c r="C14459" s="16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5">
        <v>2013</v>
      </c>
      <c r="C14460" s="16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5">
        <v>2013</v>
      </c>
      <c r="C14461" s="16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5">
        <v>2013</v>
      </c>
      <c r="C14462" s="16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5">
        <v>2013</v>
      </c>
      <c r="C14463" s="16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5">
        <v>2013</v>
      </c>
      <c r="C14464" s="16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5">
        <v>2013</v>
      </c>
      <c r="C14465" s="16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5">
        <v>2013</v>
      </c>
      <c r="C14466" s="16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5">
        <v>2013</v>
      </c>
      <c r="C14467" s="16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5">
        <v>2013</v>
      </c>
      <c r="C14468" s="16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5">
        <v>2013</v>
      </c>
      <c r="C14469" s="16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5">
        <v>2013</v>
      </c>
      <c r="C14470" s="16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5">
        <v>2013</v>
      </c>
      <c r="C14471" s="16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5">
        <v>2013</v>
      </c>
      <c r="C14472" s="16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5">
        <v>2013</v>
      </c>
      <c r="C14473" s="16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5">
        <v>2013</v>
      </c>
      <c r="C14474" s="16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5">
        <v>2013</v>
      </c>
      <c r="C14475" s="16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5">
        <v>2013</v>
      </c>
      <c r="C14476" s="16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5">
        <v>2013</v>
      </c>
      <c r="C14477" s="16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5">
        <v>2013</v>
      </c>
      <c r="C14478" s="16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5">
        <v>2013</v>
      </c>
      <c r="C14479" s="16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5">
        <v>2013</v>
      </c>
      <c r="C14480" s="16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5">
        <v>2013</v>
      </c>
      <c r="C14481" s="16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5">
        <v>2013</v>
      </c>
      <c r="C14482" s="16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5">
        <v>2013</v>
      </c>
      <c r="C14483" s="16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5">
        <v>2013</v>
      </c>
      <c r="C14484" s="16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5">
        <v>2013</v>
      </c>
      <c r="C14485" s="16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5">
        <v>2013</v>
      </c>
      <c r="C14486" s="16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5">
        <v>2013</v>
      </c>
      <c r="C14487" s="16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5">
        <v>2013</v>
      </c>
      <c r="C14488" s="16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5">
        <v>2013</v>
      </c>
      <c r="C14489" s="16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5">
        <v>2013</v>
      </c>
      <c r="C14490" s="16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5">
        <v>2013</v>
      </c>
      <c r="C14491" s="16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5">
        <v>2013</v>
      </c>
      <c r="C14492" s="16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5">
        <v>2013</v>
      </c>
      <c r="C14493" s="16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5">
        <v>2013</v>
      </c>
      <c r="C14494" s="16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5">
        <v>2013</v>
      </c>
      <c r="C14495" s="16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5">
        <v>2013</v>
      </c>
      <c r="C14496" s="16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5">
        <v>2013</v>
      </c>
      <c r="C14497" s="16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5">
        <v>2013</v>
      </c>
      <c r="C14498" s="16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5">
        <v>2013</v>
      </c>
      <c r="C14499" s="16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5">
        <v>2013</v>
      </c>
      <c r="C14500" s="16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5">
        <v>2013</v>
      </c>
      <c r="C14501" s="16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5">
        <v>2013</v>
      </c>
      <c r="C14502" s="16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5">
        <v>2013</v>
      </c>
      <c r="C14503" s="16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5">
        <v>2013</v>
      </c>
      <c r="C14504" s="16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5">
        <v>2013</v>
      </c>
      <c r="C14505" s="16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5">
        <v>2013</v>
      </c>
      <c r="C14506" s="16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5">
        <v>2013</v>
      </c>
      <c r="C14507" s="16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5">
        <v>2013</v>
      </c>
      <c r="C14508" s="16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5">
        <v>2013</v>
      </c>
      <c r="C14509" s="16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5">
        <v>2013</v>
      </c>
      <c r="C14510" s="16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5">
        <v>2013</v>
      </c>
      <c r="C14511" s="16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5">
        <v>2013</v>
      </c>
      <c r="C14512" s="16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5">
        <v>2013</v>
      </c>
      <c r="C14513" s="16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5">
        <v>2013</v>
      </c>
      <c r="C14514" s="16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5">
        <v>2013</v>
      </c>
      <c r="C14515" s="16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5">
        <v>2013</v>
      </c>
      <c r="C14516" s="16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5">
        <v>2013</v>
      </c>
      <c r="C14517" s="16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5">
        <v>2013</v>
      </c>
      <c r="C14518" s="16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5">
        <v>2013</v>
      </c>
      <c r="C14519" s="16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5">
        <v>2013</v>
      </c>
      <c r="C14520" s="16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5">
        <v>2013</v>
      </c>
      <c r="C14521" s="16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5">
        <v>2013</v>
      </c>
      <c r="C14522" s="16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5">
        <v>2013</v>
      </c>
      <c r="C14523" s="16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5">
        <v>2013</v>
      </c>
      <c r="C14524" s="16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5">
        <v>2013</v>
      </c>
      <c r="C14525" s="16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5">
        <v>2013</v>
      </c>
      <c r="C14526" s="16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5">
        <v>2013</v>
      </c>
      <c r="C14527" s="16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5">
        <v>2013</v>
      </c>
      <c r="C14528" s="16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5">
        <v>2013</v>
      </c>
      <c r="C14529" s="16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5">
        <v>2013</v>
      </c>
      <c r="C14530" s="16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5">
        <v>2013</v>
      </c>
      <c r="C14531" s="16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5">
        <v>2013</v>
      </c>
      <c r="C14532" s="16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5">
        <v>2013</v>
      </c>
      <c r="C14533" s="16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5">
        <v>2013</v>
      </c>
      <c r="C14534" s="16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5">
        <v>2013</v>
      </c>
      <c r="C14535" s="16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5">
        <v>2013</v>
      </c>
      <c r="C14536" s="16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5">
        <v>2013</v>
      </c>
      <c r="C14537" s="16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5">
        <v>2013</v>
      </c>
      <c r="C14538" s="16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5">
        <v>2013</v>
      </c>
      <c r="C14539" s="16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5">
        <v>2013</v>
      </c>
      <c r="C14540" s="16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5">
        <v>2013</v>
      </c>
      <c r="C14541" s="16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5">
        <v>2013</v>
      </c>
      <c r="C14542" s="16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5">
        <v>2013</v>
      </c>
      <c r="C14543" s="16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5">
        <v>2013</v>
      </c>
      <c r="C14544" s="16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5">
        <v>2013</v>
      </c>
      <c r="C14545" s="16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5">
        <v>2013</v>
      </c>
      <c r="C14546" s="16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5">
        <v>2013</v>
      </c>
      <c r="C14547" s="16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5">
        <v>2013</v>
      </c>
      <c r="C14548" s="16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5">
        <v>2013</v>
      </c>
      <c r="C14549" s="16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5">
        <v>2013</v>
      </c>
      <c r="C14550" s="16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5">
        <v>2013</v>
      </c>
      <c r="C14551" s="16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5">
        <v>2013</v>
      </c>
      <c r="C14552" s="16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5">
        <v>2013</v>
      </c>
      <c r="C14553" s="16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5">
        <v>2013</v>
      </c>
      <c r="C14554" s="16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5">
        <v>2013</v>
      </c>
      <c r="C14555" s="16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5">
        <v>2013</v>
      </c>
      <c r="C14556" s="16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5">
        <v>2013</v>
      </c>
      <c r="C14557" s="16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5">
        <v>2013</v>
      </c>
      <c r="C14558" s="16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5">
        <v>2013</v>
      </c>
      <c r="C14559" s="16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5">
        <v>2013</v>
      </c>
      <c r="C14560" s="16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5">
        <v>2013</v>
      </c>
      <c r="C14561" s="16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5">
        <v>2013</v>
      </c>
      <c r="C14562" s="16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5">
        <v>2013</v>
      </c>
      <c r="C14563" s="16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5">
        <v>2013</v>
      </c>
      <c r="C14564" s="16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5">
        <v>2013</v>
      </c>
      <c r="C14565" s="16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5">
        <v>2013</v>
      </c>
      <c r="C14566" s="16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5">
        <v>2013</v>
      </c>
      <c r="C14567" s="16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5">
        <v>2013</v>
      </c>
      <c r="C14568" s="16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5">
        <v>2013</v>
      </c>
      <c r="C14569" s="16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5">
        <v>2013</v>
      </c>
      <c r="C14570" s="16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5">
        <v>2013</v>
      </c>
      <c r="C14571" s="16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5">
        <v>2013</v>
      </c>
      <c r="C14572" s="16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5">
        <v>2013</v>
      </c>
      <c r="C14573" s="16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5">
        <v>2013</v>
      </c>
      <c r="C14574" s="16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5">
        <v>2013</v>
      </c>
      <c r="C14575" s="16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5">
        <v>2013</v>
      </c>
      <c r="C14576" s="16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5">
        <v>2013</v>
      </c>
      <c r="C14577" s="16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5">
        <v>2013</v>
      </c>
      <c r="C14578" s="16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5">
        <v>2013</v>
      </c>
      <c r="C14579" s="16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5">
        <v>2013</v>
      </c>
      <c r="C14580" s="16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5">
        <v>2013</v>
      </c>
      <c r="C14581" s="16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5">
        <v>2013</v>
      </c>
      <c r="C14582" s="16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5">
        <v>2013</v>
      </c>
      <c r="C14583" s="16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5">
        <v>2013</v>
      </c>
      <c r="C14584" s="16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5">
        <v>2013</v>
      </c>
      <c r="C14585" s="16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5">
        <v>2013</v>
      </c>
      <c r="C14586" s="16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5">
        <v>2013</v>
      </c>
      <c r="C14587" s="16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5">
        <v>2013</v>
      </c>
      <c r="C14588" s="16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5">
        <v>2013</v>
      </c>
      <c r="C14589" s="16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5">
        <v>2013</v>
      </c>
      <c r="C14590" s="16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5">
        <v>2013</v>
      </c>
      <c r="C14591" s="16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5">
        <v>2013</v>
      </c>
      <c r="C14592" s="16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5">
        <v>2013</v>
      </c>
      <c r="C14593" s="16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5">
        <v>2013</v>
      </c>
      <c r="C14594" s="16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5">
        <v>2013</v>
      </c>
      <c r="C14595" s="16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5">
        <v>2013</v>
      </c>
      <c r="C14596" s="16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5">
        <v>2013</v>
      </c>
      <c r="C14597" s="16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5">
        <v>2013</v>
      </c>
      <c r="C14598" s="16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5">
        <v>2013</v>
      </c>
      <c r="C14599" s="16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5">
        <v>2013</v>
      </c>
      <c r="C14600" s="16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5">
        <v>2013</v>
      </c>
      <c r="C14601" s="16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5">
        <v>2013</v>
      </c>
      <c r="C14602" s="16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5">
        <v>2013</v>
      </c>
      <c r="C14603" s="16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5">
        <v>2013</v>
      </c>
      <c r="C14604" s="16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5">
        <v>2013</v>
      </c>
      <c r="C14605" s="16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5">
        <v>2013</v>
      </c>
      <c r="C14606" s="16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5">
        <v>2013</v>
      </c>
      <c r="C14607" s="16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5">
        <v>2013</v>
      </c>
      <c r="C14608" s="16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5">
        <v>2013</v>
      </c>
      <c r="C14609" s="16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5">
        <v>2013</v>
      </c>
      <c r="C14610" s="16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5">
        <v>2013</v>
      </c>
      <c r="C14611" s="16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5">
        <v>2013</v>
      </c>
      <c r="C14612" s="16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5">
        <v>2013</v>
      </c>
      <c r="C14613" s="16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5">
        <v>2013</v>
      </c>
      <c r="C14614" s="16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5">
        <v>2013</v>
      </c>
      <c r="C14615" s="16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5">
        <v>2013</v>
      </c>
      <c r="C14616" s="16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5">
        <v>2013</v>
      </c>
      <c r="C14617" s="16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5">
        <v>2013</v>
      </c>
      <c r="C14618" s="16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5">
        <v>2013</v>
      </c>
      <c r="C14619" s="16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5">
        <v>2013</v>
      </c>
      <c r="C14620" s="16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5">
        <v>2013</v>
      </c>
      <c r="C14621" s="16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5">
        <v>2013</v>
      </c>
      <c r="C14622" s="16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5">
        <v>2013</v>
      </c>
      <c r="C14623" s="16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5">
        <v>2013</v>
      </c>
      <c r="C14624" s="16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5">
        <v>2013</v>
      </c>
      <c r="C14625" s="16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5">
        <v>2013</v>
      </c>
      <c r="C14626" s="16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5">
        <v>2013</v>
      </c>
      <c r="C14627" s="16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5">
        <v>2013</v>
      </c>
      <c r="C14628" s="16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5">
        <v>2013</v>
      </c>
      <c r="C14629" s="16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5">
        <v>2013</v>
      </c>
      <c r="C14630" s="16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5">
        <v>2013</v>
      </c>
      <c r="C14631" s="16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5">
        <v>2013</v>
      </c>
      <c r="C14632" s="16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5">
        <v>2013</v>
      </c>
      <c r="C14633" s="16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5">
        <v>2013</v>
      </c>
      <c r="C14634" s="16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5">
        <v>2013</v>
      </c>
      <c r="C14635" s="16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5">
        <v>2013</v>
      </c>
      <c r="C14636" s="16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5">
        <v>2013</v>
      </c>
      <c r="C14637" s="16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5">
        <v>2013</v>
      </c>
      <c r="C14638" s="16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5">
        <v>2013</v>
      </c>
      <c r="C14639" s="16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5">
        <v>2013</v>
      </c>
      <c r="C14640" s="16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5">
        <v>2013</v>
      </c>
      <c r="C14641" s="16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5">
        <v>2013</v>
      </c>
      <c r="C14642" s="16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5">
        <v>2013</v>
      </c>
      <c r="C14643" s="16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5">
        <v>2013</v>
      </c>
      <c r="C14644" s="16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5">
        <v>2013</v>
      </c>
      <c r="C14645" s="16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5">
        <v>2013</v>
      </c>
      <c r="C14646" s="16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5">
        <v>2013</v>
      </c>
      <c r="C14647" s="16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5">
        <v>2013</v>
      </c>
      <c r="C14648" s="16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5">
        <v>2013</v>
      </c>
      <c r="C14649" s="16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5">
        <v>2013</v>
      </c>
      <c r="C14650" s="16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5">
        <v>2013</v>
      </c>
      <c r="C14651" s="16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5">
        <v>2013</v>
      </c>
      <c r="C14652" s="16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5">
        <v>2013</v>
      </c>
      <c r="C14653" s="16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5">
        <v>2013</v>
      </c>
      <c r="C14654" s="16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5">
        <v>2013</v>
      </c>
      <c r="C14655" s="16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5">
        <v>2013</v>
      </c>
      <c r="C14656" s="16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5">
        <v>2013</v>
      </c>
      <c r="C14657" s="16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5">
        <v>2013</v>
      </c>
      <c r="C14658" s="16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5">
        <v>2013</v>
      </c>
      <c r="C14659" s="16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5">
        <v>2013</v>
      </c>
      <c r="C14660" s="16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5">
        <v>2013</v>
      </c>
      <c r="C14661" s="16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5">
        <v>2013</v>
      </c>
      <c r="C14662" s="16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5">
        <v>2013</v>
      </c>
      <c r="C14663" s="16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5">
        <v>2013</v>
      </c>
      <c r="C14664" s="16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5">
        <v>2013</v>
      </c>
      <c r="C14665" s="16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5">
        <v>2013</v>
      </c>
      <c r="C14666" s="16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5">
        <v>2013</v>
      </c>
      <c r="C14667" s="16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5">
        <v>2013</v>
      </c>
      <c r="C14668" s="16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5">
        <v>2013</v>
      </c>
      <c r="C14669" s="16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5">
        <v>2013</v>
      </c>
      <c r="C14670" s="16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5">
        <v>2013</v>
      </c>
      <c r="C14671" s="16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5">
        <v>2013</v>
      </c>
      <c r="C14672" s="16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5">
        <v>2013</v>
      </c>
      <c r="C14673" s="16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5">
        <v>2013</v>
      </c>
      <c r="C14674" s="16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5">
        <v>2013</v>
      </c>
      <c r="C14675" s="16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5">
        <v>2013</v>
      </c>
      <c r="C14676" s="16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5">
        <v>2013</v>
      </c>
      <c r="C14677" s="16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5">
        <v>2013</v>
      </c>
      <c r="C14678" s="16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5">
        <v>2013</v>
      </c>
      <c r="C14679" s="16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5">
        <v>2013</v>
      </c>
      <c r="C14680" s="16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5">
        <v>2013</v>
      </c>
      <c r="C14681" s="16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5">
        <v>2013</v>
      </c>
      <c r="C14682" s="16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5">
        <v>2013</v>
      </c>
      <c r="C14683" s="16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5">
        <v>2013</v>
      </c>
      <c r="C14684" s="16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5">
        <v>2013</v>
      </c>
      <c r="C14685" s="16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5">
        <v>2013</v>
      </c>
      <c r="C14686" s="16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5">
        <v>2013</v>
      </c>
      <c r="C14687" s="16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5">
        <v>2013</v>
      </c>
      <c r="C14688" s="16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5">
        <v>2013</v>
      </c>
      <c r="C14689" s="16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5">
        <v>2013</v>
      </c>
      <c r="C14690" s="16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5">
        <v>2013</v>
      </c>
      <c r="C14691" s="16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5">
        <v>2013</v>
      </c>
      <c r="C14692" s="16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5">
        <v>2013</v>
      </c>
      <c r="C14693" s="16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5">
        <v>2013</v>
      </c>
      <c r="C14694" s="16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5">
        <v>2013</v>
      </c>
      <c r="C14695" s="16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5">
        <v>2013</v>
      </c>
      <c r="C14696" s="16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5">
        <v>2013</v>
      </c>
      <c r="C14697" s="16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5">
        <v>2013</v>
      </c>
      <c r="C14698" s="16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5">
        <v>2013</v>
      </c>
      <c r="C14699" s="16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5">
        <v>2013</v>
      </c>
      <c r="C14700" s="16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5">
        <v>2013</v>
      </c>
      <c r="C14701" s="16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5">
        <v>2013</v>
      </c>
      <c r="C14702" s="16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5">
        <v>2013</v>
      </c>
      <c r="C14703" s="16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5">
        <v>2013</v>
      </c>
      <c r="C14704" s="16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5">
        <v>2013</v>
      </c>
      <c r="C14705" s="16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5">
        <v>2013</v>
      </c>
      <c r="C14706" s="16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5">
        <v>2013</v>
      </c>
      <c r="C14707" s="16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5">
        <v>2013</v>
      </c>
      <c r="C14708" s="16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5">
        <v>2013</v>
      </c>
      <c r="C14709" s="16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5">
        <v>2013</v>
      </c>
      <c r="C14710" s="16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5">
        <v>2013</v>
      </c>
      <c r="C14711" s="16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5">
        <v>2013</v>
      </c>
      <c r="C14712" s="16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5">
        <v>2013</v>
      </c>
      <c r="C14713" s="16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5">
        <v>2013</v>
      </c>
      <c r="C14714" s="16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5">
        <v>2013</v>
      </c>
      <c r="C14715" s="16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5">
        <v>2013</v>
      </c>
      <c r="C14716" s="16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5">
        <v>2013</v>
      </c>
      <c r="C14717" s="16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5">
        <v>2013</v>
      </c>
      <c r="C14718" s="16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5">
        <v>2013</v>
      </c>
      <c r="C14719" s="16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5">
        <v>2013</v>
      </c>
      <c r="C14720" s="16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5">
        <v>2013</v>
      </c>
      <c r="C14721" s="16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5">
        <v>2013</v>
      </c>
      <c r="C14722" s="16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5">
        <v>2013</v>
      </c>
      <c r="C14723" s="16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5">
        <v>2013</v>
      </c>
      <c r="C14724" s="16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5">
        <v>2013</v>
      </c>
      <c r="C14725" s="16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5">
        <v>2013</v>
      </c>
      <c r="C14726" s="16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5">
        <v>2013</v>
      </c>
      <c r="C14727" s="16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5">
        <v>2013</v>
      </c>
      <c r="C14728" s="16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5">
        <v>2013</v>
      </c>
      <c r="C14729" s="16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5">
        <v>2013</v>
      </c>
      <c r="C14730" s="16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5">
        <v>2013</v>
      </c>
      <c r="C14731" s="16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5">
        <v>2013</v>
      </c>
      <c r="C14732" s="16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5">
        <v>2013</v>
      </c>
      <c r="C14733" s="16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5">
        <v>2013</v>
      </c>
      <c r="C14734" s="16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5">
        <v>2013</v>
      </c>
      <c r="C14735" s="16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5">
        <v>2013</v>
      </c>
      <c r="C14736" s="16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5">
        <v>2013</v>
      </c>
      <c r="C14737" s="16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5">
        <v>2013</v>
      </c>
      <c r="C14738" s="16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5">
        <v>2013</v>
      </c>
      <c r="C14739" s="16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5">
        <v>2013</v>
      </c>
      <c r="C14740" s="16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5">
        <v>2013</v>
      </c>
      <c r="C14741" s="16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5">
        <v>2013</v>
      </c>
      <c r="C14742" s="16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5">
        <v>2013</v>
      </c>
      <c r="C14743" s="16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5">
        <v>2013</v>
      </c>
      <c r="C14744" s="16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5">
        <v>2013</v>
      </c>
      <c r="C14745" s="16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5">
        <v>2013</v>
      </c>
      <c r="C14746" s="16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5">
        <v>2013</v>
      </c>
      <c r="C14747" s="16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5">
        <v>2013</v>
      </c>
      <c r="C14748" s="16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5">
        <v>2013</v>
      </c>
      <c r="C14749" s="16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5">
        <v>2013</v>
      </c>
      <c r="C14750" s="16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5">
        <v>2013</v>
      </c>
      <c r="C14751" s="16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5">
        <v>2013</v>
      </c>
      <c r="C14752" s="16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5">
        <v>2013</v>
      </c>
      <c r="C14753" s="16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5">
        <v>2013</v>
      </c>
      <c r="C14754" s="16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5">
        <v>2013</v>
      </c>
      <c r="C14755" s="16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5">
        <v>2013</v>
      </c>
      <c r="C14756" s="16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5">
        <v>2013</v>
      </c>
      <c r="C14757" s="16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5">
        <v>2013</v>
      </c>
      <c r="C14758" s="16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5">
        <v>2013</v>
      </c>
      <c r="C14759" s="16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5">
        <v>2013</v>
      </c>
      <c r="C14760" s="16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5">
        <v>2013</v>
      </c>
      <c r="C14761" s="16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5">
        <v>2013</v>
      </c>
      <c r="C14762" s="16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5">
        <v>2013</v>
      </c>
      <c r="C14763" s="16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5">
        <v>2013</v>
      </c>
      <c r="C14764" s="16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5">
        <v>2013</v>
      </c>
      <c r="C14765" s="16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5">
        <v>2013</v>
      </c>
      <c r="C14766" s="16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5">
        <v>2013</v>
      </c>
      <c r="C14767" s="16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5">
        <v>2013</v>
      </c>
      <c r="C14768" s="16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5">
        <v>2013</v>
      </c>
      <c r="C14769" s="16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5">
        <v>2013</v>
      </c>
      <c r="C14770" s="16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5">
        <v>2013</v>
      </c>
      <c r="C14771" s="16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5">
        <v>2013</v>
      </c>
      <c r="C14772" s="16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5">
        <v>2013</v>
      </c>
      <c r="C14773" s="16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5">
        <v>2013</v>
      </c>
      <c r="C14774" s="16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5">
        <v>2013</v>
      </c>
      <c r="C14775" s="16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5">
        <v>2013</v>
      </c>
      <c r="C14776" s="16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5">
        <v>2013</v>
      </c>
      <c r="C14777" s="16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5">
        <v>2013</v>
      </c>
      <c r="C14778" s="16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5">
        <v>2013</v>
      </c>
      <c r="C14779" s="16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5">
        <v>2013</v>
      </c>
      <c r="C14780" s="16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5">
        <v>2013</v>
      </c>
      <c r="C14781" s="16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5">
        <v>2013</v>
      </c>
      <c r="C14782" s="16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5">
        <v>2013</v>
      </c>
      <c r="C14783" s="16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5">
        <v>2013</v>
      </c>
      <c r="C14784" s="16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5">
        <v>2013</v>
      </c>
      <c r="C14785" s="16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5">
        <v>2013</v>
      </c>
      <c r="C14786" s="16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5">
        <v>2013</v>
      </c>
      <c r="C14787" s="16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5">
        <v>2013</v>
      </c>
      <c r="C14788" s="16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5">
        <v>2013</v>
      </c>
      <c r="C14789" s="16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5">
        <v>2013</v>
      </c>
      <c r="C14790" s="16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5">
        <v>2013</v>
      </c>
      <c r="C14791" s="16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5">
        <v>2013</v>
      </c>
      <c r="C14792" s="16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5">
        <v>2013</v>
      </c>
      <c r="C14793" s="16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5">
        <v>2013</v>
      </c>
      <c r="C14794" s="16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5">
        <v>2013</v>
      </c>
      <c r="C14795" s="16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5">
        <v>2013</v>
      </c>
      <c r="C14796" s="16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5">
        <v>2013</v>
      </c>
      <c r="C14797" s="16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5">
        <v>2013</v>
      </c>
      <c r="C14798" s="16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5">
        <v>2013</v>
      </c>
      <c r="C14799" s="16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5">
        <v>2013</v>
      </c>
      <c r="C14800" s="16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5">
        <v>2013</v>
      </c>
      <c r="C14801" s="16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5">
        <v>2013</v>
      </c>
      <c r="C14802" s="16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5">
        <v>2013</v>
      </c>
      <c r="C14803" s="16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5">
        <v>2013</v>
      </c>
      <c r="C14804" s="16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5">
        <v>2013</v>
      </c>
      <c r="C14805" s="16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5">
        <v>2013</v>
      </c>
      <c r="C14806" s="16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5">
        <v>2013</v>
      </c>
      <c r="C14807" s="16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5">
        <v>2013</v>
      </c>
      <c r="C14808" s="16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5">
        <v>2013</v>
      </c>
      <c r="C14809" s="16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5">
        <v>2013</v>
      </c>
      <c r="C14810" s="16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5">
        <v>2013</v>
      </c>
      <c r="C14811" s="16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5">
        <v>2013</v>
      </c>
      <c r="C14812" s="16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5">
        <v>2013</v>
      </c>
      <c r="C14813" s="16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5">
        <v>2013</v>
      </c>
      <c r="C14814" s="16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5">
        <v>2013</v>
      </c>
      <c r="C14815" s="16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5">
        <v>2013</v>
      </c>
      <c r="C14816" s="16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5">
        <v>2013</v>
      </c>
      <c r="C14817" s="16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5">
        <v>2013</v>
      </c>
      <c r="C14818" s="16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5">
        <v>2013</v>
      </c>
      <c r="C14819" s="16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5">
        <v>2013</v>
      </c>
      <c r="C14820" s="16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5">
        <v>2013</v>
      </c>
      <c r="C14821" s="16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5">
        <v>2013</v>
      </c>
      <c r="C14822" s="16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5">
        <v>2013</v>
      </c>
      <c r="C14823" s="16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5">
        <v>2013</v>
      </c>
      <c r="C14824" s="16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5">
        <v>2013</v>
      </c>
      <c r="C14825" s="16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5">
        <v>2013</v>
      </c>
      <c r="C14826" s="16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5">
        <v>2013</v>
      </c>
      <c r="C14827" s="16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5">
        <v>2013</v>
      </c>
      <c r="C14828" s="16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5">
        <v>2013</v>
      </c>
      <c r="C14829" s="16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5">
        <v>2013</v>
      </c>
      <c r="C14830" s="16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5">
        <v>2013</v>
      </c>
      <c r="C14831" s="16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5">
        <v>2013</v>
      </c>
      <c r="C14832" s="16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5">
        <v>2013</v>
      </c>
      <c r="C14833" s="16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5">
        <v>2013</v>
      </c>
      <c r="C14834" s="16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5">
        <v>2013</v>
      </c>
      <c r="C14835" s="16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5">
        <v>2013</v>
      </c>
      <c r="C14836" s="16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5">
        <v>2013</v>
      </c>
      <c r="C14837" s="16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5">
        <v>2013</v>
      </c>
      <c r="C14838" s="16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5">
        <v>2013</v>
      </c>
      <c r="C14839" s="16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5">
        <v>2013</v>
      </c>
      <c r="C14840" s="16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5">
        <v>2013</v>
      </c>
      <c r="C14841" s="16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5">
        <v>2013</v>
      </c>
      <c r="C14842" s="16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5">
        <v>2013</v>
      </c>
      <c r="C14843" s="16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5">
        <v>2013</v>
      </c>
      <c r="C14844" s="16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5">
        <v>2013</v>
      </c>
      <c r="C14845" s="16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5">
        <v>2013</v>
      </c>
      <c r="C14846" s="16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5">
        <v>2013</v>
      </c>
      <c r="C14847" s="16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5">
        <v>2013</v>
      </c>
      <c r="C14848" s="16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5">
        <v>2013</v>
      </c>
      <c r="C14849" s="16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5">
        <v>2013</v>
      </c>
      <c r="C14850" s="16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5">
        <v>2013</v>
      </c>
      <c r="C14851" s="16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5">
        <v>2013</v>
      </c>
      <c r="C14852" s="16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5">
        <v>2013</v>
      </c>
      <c r="C14853" s="16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5">
        <v>2013</v>
      </c>
      <c r="C14854" s="16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5">
        <v>2013</v>
      </c>
      <c r="C14855" s="16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5">
        <v>2013</v>
      </c>
      <c r="C14856" s="16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5">
        <v>2013</v>
      </c>
      <c r="C14857" s="16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5">
        <v>2013</v>
      </c>
      <c r="C14858" s="16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5">
        <v>2013</v>
      </c>
      <c r="C14859" s="16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5">
        <v>2013</v>
      </c>
      <c r="C14860" s="16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5">
        <v>2013</v>
      </c>
      <c r="C14861" s="16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5">
        <v>2013</v>
      </c>
      <c r="C14862" s="16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5">
        <v>2013</v>
      </c>
      <c r="C14863" s="16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5">
        <v>2013</v>
      </c>
      <c r="C14864" s="16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5">
        <v>2013</v>
      </c>
      <c r="C14865" s="16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5">
        <v>2013</v>
      </c>
      <c r="C14866" s="16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5">
        <v>2013</v>
      </c>
      <c r="C14867" s="16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5">
        <v>2013</v>
      </c>
      <c r="C14868" s="16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5">
        <v>2013</v>
      </c>
      <c r="C14869" s="16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5">
        <v>2013</v>
      </c>
      <c r="C14870" s="16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5">
        <v>2013</v>
      </c>
      <c r="C14871" s="16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5">
        <v>2013</v>
      </c>
      <c r="C14872" s="16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5">
        <v>2013</v>
      </c>
      <c r="C14873" s="16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5">
        <v>2013</v>
      </c>
      <c r="C14874" s="16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5">
        <v>2013</v>
      </c>
      <c r="C14875" s="16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5">
        <v>2013</v>
      </c>
      <c r="C14876" s="16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5">
        <v>2013</v>
      </c>
      <c r="C14877" s="16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5">
        <v>2013</v>
      </c>
      <c r="C14878" s="16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5">
        <v>2013</v>
      </c>
      <c r="C14879" s="16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5">
        <v>2013</v>
      </c>
      <c r="C14880" s="16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5">
        <v>2013</v>
      </c>
      <c r="C14881" s="16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5">
        <v>2013</v>
      </c>
      <c r="C14882" s="16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5">
        <v>2013</v>
      </c>
      <c r="C14883" s="16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5">
        <v>2013</v>
      </c>
      <c r="C14884" s="16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5">
        <v>2013</v>
      </c>
      <c r="C14885" s="16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5">
        <v>2013</v>
      </c>
      <c r="C14886" s="16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5">
        <v>2013</v>
      </c>
      <c r="C14887" s="16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5">
        <v>2013</v>
      </c>
      <c r="C14888" s="16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5">
        <v>2013</v>
      </c>
      <c r="C14889" s="16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5">
        <v>2013</v>
      </c>
      <c r="C14890" s="16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5">
        <v>2013</v>
      </c>
      <c r="C14891" s="16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5">
        <v>2013</v>
      </c>
      <c r="C14892" s="16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5">
        <v>2013</v>
      </c>
      <c r="C14893" s="16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5">
        <v>2013</v>
      </c>
      <c r="C14894" s="16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5">
        <v>2013</v>
      </c>
      <c r="C14895" s="16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5">
        <v>2013</v>
      </c>
      <c r="C14896" s="16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5">
        <v>2013</v>
      </c>
      <c r="C14897" s="16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5">
        <v>2013</v>
      </c>
      <c r="C14898" s="16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5">
        <v>2013</v>
      </c>
      <c r="C14899" s="16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5">
        <v>2013</v>
      </c>
      <c r="C14900" s="16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5">
        <v>2013</v>
      </c>
      <c r="C14901" s="16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5">
        <v>2013</v>
      </c>
      <c r="C14902" s="16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5">
        <v>2013</v>
      </c>
      <c r="C14903" s="16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5">
        <v>2013</v>
      </c>
      <c r="C14904" s="16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5">
        <v>2013</v>
      </c>
      <c r="C14905" s="16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5">
        <v>2013</v>
      </c>
      <c r="C14906" s="16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5">
        <v>2013</v>
      </c>
      <c r="C14907" s="16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5">
        <v>2013</v>
      </c>
      <c r="C14908" s="16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5">
        <v>2013</v>
      </c>
      <c r="C14909" s="16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5">
        <v>2013</v>
      </c>
      <c r="C14910" s="16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5">
        <v>2013</v>
      </c>
      <c r="C14911" s="16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5">
        <v>2013</v>
      </c>
      <c r="C14912" s="16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5">
        <v>2013</v>
      </c>
      <c r="C14913" s="16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5">
        <v>2013</v>
      </c>
      <c r="C14914" s="16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5">
        <v>2013</v>
      </c>
      <c r="C14915" s="16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5">
        <v>2013</v>
      </c>
      <c r="C14916" s="16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5">
        <v>2013</v>
      </c>
      <c r="C14917" s="16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5">
        <v>2013</v>
      </c>
      <c r="C14918" s="16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5">
        <v>2013</v>
      </c>
      <c r="C14919" s="16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5">
        <v>2013</v>
      </c>
      <c r="C14920" s="16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5">
        <v>2013</v>
      </c>
      <c r="C14921" s="16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5">
        <v>2013</v>
      </c>
      <c r="C14922" s="16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5">
        <v>2013</v>
      </c>
      <c r="C14923" s="16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5">
        <v>2013</v>
      </c>
      <c r="C14924" s="16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5">
        <v>2013</v>
      </c>
      <c r="C14925" s="16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5">
        <v>2013</v>
      </c>
      <c r="C14926" s="16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5">
        <v>2013</v>
      </c>
      <c r="C14927" s="16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5">
        <v>2013</v>
      </c>
      <c r="C14928" s="16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5">
        <v>2013</v>
      </c>
      <c r="C14929" s="16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5">
        <v>2013</v>
      </c>
      <c r="C14930" s="16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5">
        <v>2013</v>
      </c>
      <c r="C14931" s="16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5">
        <v>2013</v>
      </c>
      <c r="C14932" s="16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5">
        <v>2013</v>
      </c>
      <c r="C14933" s="16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5">
        <v>2013</v>
      </c>
      <c r="C14934" s="16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5">
        <v>2013</v>
      </c>
      <c r="C14935" s="16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5">
        <v>2013</v>
      </c>
      <c r="C14936" s="16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5">
        <v>2013</v>
      </c>
      <c r="C14937" s="16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5">
        <v>2013</v>
      </c>
      <c r="C14938" s="16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5">
        <v>2013</v>
      </c>
      <c r="C14939" s="16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5">
        <v>2013</v>
      </c>
      <c r="C14940" s="16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5">
        <v>2013</v>
      </c>
      <c r="C14941" s="16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5">
        <v>2013</v>
      </c>
      <c r="C14942" s="16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5">
        <v>2013</v>
      </c>
      <c r="C14943" s="16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5">
        <v>2013</v>
      </c>
      <c r="C14944" s="16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5">
        <v>2013</v>
      </c>
      <c r="C14945" s="16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5">
        <v>2013</v>
      </c>
      <c r="C14946" s="16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5">
        <v>2013</v>
      </c>
      <c r="C14947" s="16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5">
        <v>2013</v>
      </c>
      <c r="C14948" s="16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5">
        <v>2013</v>
      </c>
      <c r="C14949" s="16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5">
        <v>2013</v>
      </c>
      <c r="C14950" s="16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5">
        <v>2013</v>
      </c>
      <c r="C14951" s="16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5">
        <v>2013</v>
      </c>
      <c r="C14952" s="16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5">
        <v>2013</v>
      </c>
      <c r="C14953" s="16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5">
        <v>2013</v>
      </c>
      <c r="C14954" s="16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5">
        <v>2013</v>
      </c>
      <c r="C14955" s="16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5">
        <v>2013</v>
      </c>
      <c r="C14956" s="16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5">
        <v>2013</v>
      </c>
      <c r="C14957" s="16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5">
        <v>2013</v>
      </c>
      <c r="C14958" s="16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5">
        <v>2013</v>
      </c>
      <c r="C14959" s="16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5">
        <v>2013</v>
      </c>
      <c r="C14960" s="16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5">
        <v>2013</v>
      </c>
      <c r="C14961" s="16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5">
        <v>2013</v>
      </c>
      <c r="C14962" s="16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5">
        <v>2013</v>
      </c>
      <c r="C14963" s="16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5">
        <v>2013</v>
      </c>
      <c r="C14964" s="16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5">
        <v>2013</v>
      </c>
      <c r="C14965" s="16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5">
        <v>2013</v>
      </c>
      <c r="C14966" s="16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5">
        <v>2013</v>
      </c>
      <c r="C14967" s="16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5">
        <v>2013</v>
      </c>
      <c r="C14968" s="16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5">
        <v>2013</v>
      </c>
      <c r="C14969" s="16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5">
        <v>2013</v>
      </c>
      <c r="C14970" s="16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5">
        <v>2013</v>
      </c>
      <c r="C14971" s="16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5">
        <v>2013</v>
      </c>
      <c r="C14972" s="16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5">
        <v>2013</v>
      </c>
      <c r="C14973" s="16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5">
        <v>2013</v>
      </c>
      <c r="C14974" s="16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5">
        <v>2013</v>
      </c>
      <c r="C14975" s="16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5">
        <v>2013</v>
      </c>
      <c r="C14976" s="16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5">
        <v>2013</v>
      </c>
      <c r="C14977" s="16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5">
        <v>2013</v>
      </c>
      <c r="C14978" s="16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5">
        <v>2013</v>
      </c>
      <c r="C14979" s="16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5">
        <v>2013</v>
      </c>
      <c r="C14980" s="16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5">
        <v>2013</v>
      </c>
      <c r="C14981" s="16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5">
        <v>2013</v>
      </c>
      <c r="C14982" s="16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5">
        <v>2013</v>
      </c>
      <c r="C14983" s="16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5">
        <v>2013</v>
      </c>
      <c r="C14984" s="16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5">
        <v>2013</v>
      </c>
      <c r="C14985" s="16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5">
        <v>2013</v>
      </c>
      <c r="C14986" s="16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5">
        <v>2013</v>
      </c>
      <c r="C14987" s="16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5">
        <v>2013</v>
      </c>
      <c r="C14988" s="16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5">
        <v>2013</v>
      </c>
      <c r="C14989" s="16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5">
        <v>2013</v>
      </c>
      <c r="C14990" s="16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5">
        <v>2013</v>
      </c>
      <c r="C14991" s="16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5">
        <v>2013</v>
      </c>
      <c r="C14992" s="16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5">
        <v>2013</v>
      </c>
      <c r="C14993" s="16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5">
        <v>2013</v>
      </c>
      <c r="C14994" s="16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5">
        <v>2013</v>
      </c>
      <c r="C14995" s="16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5">
        <v>2013</v>
      </c>
      <c r="C14996" s="16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5">
        <v>2013</v>
      </c>
      <c r="C14997" s="16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5">
        <v>2013</v>
      </c>
      <c r="C14998" s="16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5">
        <v>2013</v>
      </c>
      <c r="C14999" s="16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5">
        <v>2013</v>
      </c>
      <c r="C15000" s="16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5">
        <v>2013</v>
      </c>
      <c r="C15001" s="16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5">
        <v>2013</v>
      </c>
      <c r="C15002" s="16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5">
        <v>2013</v>
      </c>
      <c r="C15003" s="16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5">
        <v>2013</v>
      </c>
      <c r="C15004" s="16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5">
        <v>2013</v>
      </c>
      <c r="C15005" s="16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5">
        <v>2013</v>
      </c>
      <c r="C15006" s="16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5">
        <v>2013</v>
      </c>
      <c r="C15007" s="16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5">
        <v>2013</v>
      </c>
      <c r="C15008" s="16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5">
        <v>2013</v>
      </c>
      <c r="C15009" s="16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5">
        <v>2013</v>
      </c>
      <c r="C15010" s="16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5">
        <v>2013</v>
      </c>
      <c r="C15011" s="16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5">
        <v>2013</v>
      </c>
      <c r="C15012" s="16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5">
        <v>2013</v>
      </c>
      <c r="C15013" s="16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5">
        <v>2013</v>
      </c>
      <c r="C15014" s="16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5">
        <v>2013</v>
      </c>
      <c r="C15015" s="16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5">
        <v>2013</v>
      </c>
      <c r="C15016" s="16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5">
        <v>2013</v>
      </c>
      <c r="C15017" s="16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5">
        <v>2013</v>
      </c>
      <c r="C15018" s="16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5">
        <v>2013</v>
      </c>
      <c r="C15019" s="16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5">
        <v>2013</v>
      </c>
      <c r="C15020" s="16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5">
        <v>2013</v>
      </c>
      <c r="C15021" s="16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5">
        <v>2013</v>
      </c>
      <c r="C15022" s="16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5">
        <v>2013</v>
      </c>
      <c r="C15023" s="16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5">
        <v>2013</v>
      </c>
      <c r="C15024" s="16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5">
        <v>2013</v>
      </c>
      <c r="C15025" s="16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5">
        <v>2013</v>
      </c>
      <c r="C15026" s="16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5">
        <v>2013</v>
      </c>
      <c r="C15027" s="16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5">
        <v>2013</v>
      </c>
      <c r="C15028" s="16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5">
        <v>2013</v>
      </c>
      <c r="C15029" s="16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5">
        <v>2013</v>
      </c>
      <c r="C15030" s="16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5">
        <v>2013</v>
      </c>
      <c r="C15031" s="16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5">
        <v>2013</v>
      </c>
      <c r="C15032" s="16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5">
        <v>2013</v>
      </c>
      <c r="C15033" s="16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5">
        <v>2013</v>
      </c>
      <c r="C15034" s="16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5">
        <v>2013</v>
      </c>
      <c r="C15035" s="16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5">
        <v>2013</v>
      </c>
      <c r="C15036" s="16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5">
        <v>2013</v>
      </c>
      <c r="C15037" s="16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5">
        <v>2013</v>
      </c>
      <c r="C15038" s="16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5">
        <v>2013</v>
      </c>
      <c r="C15039" s="16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5">
        <v>2013</v>
      </c>
      <c r="C15040" s="16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5">
        <v>2013</v>
      </c>
      <c r="C15041" s="16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5">
        <v>2013</v>
      </c>
      <c r="C15042" s="16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5">
        <v>2013</v>
      </c>
      <c r="C15043" s="16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5">
        <v>2013</v>
      </c>
      <c r="C15044" s="16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5">
        <v>2013</v>
      </c>
      <c r="C15045" s="16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5">
        <v>2013</v>
      </c>
      <c r="C15046" s="16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5">
        <v>2013</v>
      </c>
      <c r="C15047" s="16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5">
        <v>2013</v>
      </c>
      <c r="C15048" s="16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5">
        <v>2013</v>
      </c>
      <c r="C15049" s="16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5">
        <v>2013</v>
      </c>
      <c r="C15050" s="16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5">
        <v>2013</v>
      </c>
      <c r="C15051" s="16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5">
        <v>2013</v>
      </c>
      <c r="C15052" s="16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5">
        <v>2013</v>
      </c>
      <c r="C15053" s="16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5">
        <v>2013</v>
      </c>
      <c r="C15054" s="16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5">
        <v>2013</v>
      </c>
      <c r="C15055" s="16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5">
        <v>2013</v>
      </c>
      <c r="C15056" s="16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5">
        <v>2013</v>
      </c>
      <c r="C15057" s="16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5">
        <v>2013</v>
      </c>
      <c r="C15058" s="16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5">
        <v>2013</v>
      </c>
      <c r="C15059" s="16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5">
        <v>2013</v>
      </c>
      <c r="C15060" s="16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5">
        <v>2013</v>
      </c>
      <c r="C15061" s="16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5">
        <v>2013</v>
      </c>
      <c r="C15062" s="16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5">
        <v>2013</v>
      </c>
      <c r="C15063" s="16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5">
        <v>2013</v>
      </c>
      <c r="C15064" s="16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5">
        <v>2013</v>
      </c>
      <c r="C15065" s="16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5">
        <v>2013</v>
      </c>
      <c r="C15066" s="16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5">
        <v>2013</v>
      </c>
      <c r="C15067" s="16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5">
        <v>2013</v>
      </c>
      <c r="C15068" s="16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5">
        <v>2013</v>
      </c>
      <c r="C15069" s="16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5">
        <v>2013</v>
      </c>
      <c r="C15070" s="16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5">
        <v>2013</v>
      </c>
      <c r="C15071" s="16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5">
        <v>2013</v>
      </c>
      <c r="C15072" s="16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5">
        <v>2013</v>
      </c>
      <c r="C15073" s="16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5">
        <v>2013</v>
      </c>
      <c r="C15074" s="16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5">
        <v>2013</v>
      </c>
      <c r="C15075" s="16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5">
        <v>2013</v>
      </c>
      <c r="C15076" s="16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5">
        <v>2013</v>
      </c>
      <c r="C15077" s="16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5">
        <v>2013</v>
      </c>
      <c r="C15078" s="16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5">
        <v>2013</v>
      </c>
      <c r="C15079" s="16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5">
        <v>2013</v>
      </c>
      <c r="C15080" s="16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5">
        <v>2013</v>
      </c>
      <c r="C15081" s="16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5">
        <v>2013</v>
      </c>
      <c r="C15082" s="16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5">
        <v>2013</v>
      </c>
      <c r="C15083" s="16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5">
        <v>2013</v>
      </c>
      <c r="C15084" s="16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5">
        <v>2013</v>
      </c>
      <c r="C15085" s="16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5">
        <v>2013</v>
      </c>
      <c r="C15086" s="16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5">
        <v>2013</v>
      </c>
      <c r="C15087" s="16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5">
        <v>2013</v>
      </c>
      <c r="C15088" s="16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5">
        <v>2013</v>
      </c>
      <c r="C15089" s="16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5">
        <v>2013</v>
      </c>
      <c r="C15090" s="16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5">
        <v>2013</v>
      </c>
      <c r="C15091" s="16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5">
        <v>2013</v>
      </c>
      <c r="C15092" s="16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5">
        <v>2013</v>
      </c>
      <c r="C15093" s="16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5">
        <v>2013</v>
      </c>
      <c r="C15094" s="16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5">
        <v>2013</v>
      </c>
      <c r="C15095" s="16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5">
        <v>2013</v>
      </c>
      <c r="C15096" s="16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5">
        <v>2013</v>
      </c>
      <c r="C15097" s="16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5">
        <v>2013</v>
      </c>
      <c r="C15098" s="16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5">
        <v>2013</v>
      </c>
      <c r="C15099" s="16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5">
        <v>2013</v>
      </c>
      <c r="C15100" s="16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5">
        <v>2013</v>
      </c>
      <c r="C15101" s="16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5">
        <v>2013</v>
      </c>
      <c r="C15102" s="16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5">
        <v>2013</v>
      </c>
      <c r="C15103" s="16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5">
        <v>2013</v>
      </c>
      <c r="C15104" s="16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5">
        <v>2013</v>
      </c>
      <c r="C15105" s="16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5">
        <v>2013</v>
      </c>
      <c r="C15106" s="16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5">
        <v>2013</v>
      </c>
      <c r="C15107" s="16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5">
        <v>2013</v>
      </c>
      <c r="C15108" s="16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5">
        <v>2013</v>
      </c>
      <c r="C15109" s="16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5">
        <v>2013</v>
      </c>
      <c r="C15110" s="16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5">
        <v>2013</v>
      </c>
      <c r="C15111" s="16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5">
        <v>2013</v>
      </c>
      <c r="C15112" s="16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5">
        <v>2013</v>
      </c>
      <c r="C15113" s="16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5">
        <v>2013</v>
      </c>
      <c r="C15114" s="16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5">
        <v>2013</v>
      </c>
      <c r="C15115" s="16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5">
        <v>2013</v>
      </c>
      <c r="C15116" s="16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5">
        <v>2013</v>
      </c>
      <c r="C15117" s="16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5">
        <v>2013</v>
      </c>
      <c r="C15118" s="16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5">
        <v>2013</v>
      </c>
      <c r="C15119" s="16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5">
        <v>2013</v>
      </c>
      <c r="C15120" s="16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5">
        <v>2013</v>
      </c>
      <c r="C15121" s="16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29" t="s">
        <v>4251</v>
      </c>
      <c r="B3" s="29" t="s">
        <v>4252</v>
      </c>
    </row>
    <row r="4" spans="1:6" x14ac:dyDescent="0.3">
      <c r="A4" s="29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2" t="s">
        <v>978</v>
      </c>
      <c r="B5" s="41">
        <v>222612</v>
      </c>
      <c r="C5" s="41">
        <v>315756</v>
      </c>
      <c r="D5" s="41">
        <v>384504</v>
      </c>
      <c r="E5" s="41">
        <v>294168</v>
      </c>
      <c r="F5" s="41">
        <v>1217040</v>
      </c>
    </row>
    <row r="6" spans="1:6" x14ac:dyDescent="0.3">
      <c r="A6" s="42" t="s">
        <v>218</v>
      </c>
      <c r="B6" s="41">
        <v>39624</v>
      </c>
      <c r="C6" s="41">
        <v>49608</v>
      </c>
      <c r="D6" s="41">
        <v>52200</v>
      </c>
      <c r="E6" s="41">
        <v>22944</v>
      </c>
      <c r="F6" s="41">
        <v>164376</v>
      </c>
    </row>
    <row r="7" spans="1:6" x14ac:dyDescent="0.3">
      <c r="A7" s="42" t="s">
        <v>2570</v>
      </c>
      <c r="B7" s="41">
        <v>125700</v>
      </c>
      <c r="C7" s="41">
        <v>126996</v>
      </c>
      <c r="D7" s="41">
        <v>150924</v>
      </c>
      <c r="E7" s="41">
        <v>178296</v>
      </c>
      <c r="F7" s="41">
        <v>581916</v>
      </c>
    </row>
    <row r="8" spans="1:6" x14ac:dyDescent="0.3">
      <c r="A8" s="42" t="s">
        <v>2536</v>
      </c>
      <c r="B8" s="41">
        <v>40656</v>
      </c>
      <c r="C8" s="41">
        <v>37776</v>
      </c>
      <c r="D8" s="41">
        <v>43692</v>
      </c>
      <c r="E8" s="41">
        <v>42888</v>
      </c>
      <c r="F8" s="41">
        <v>165012</v>
      </c>
    </row>
    <row r="9" spans="1:6" x14ac:dyDescent="0.3">
      <c r="A9" s="42" t="s">
        <v>73</v>
      </c>
      <c r="B9" s="41">
        <v>1878156</v>
      </c>
      <c r="C9" s="41">
        <v>2513844</v>
      </c>
      <c r="D9" s="41">
        <v>2566308</v>
      </c>
      <c r="E9" s="41">
        <v>2716272</v>
      </c>
      <c r="F9" s="41">
        <v>9674580</v>
      </c>
    </row>
    <row r="10" spans="1:6" x14ac:dyDescent="0.3">
      <c r="A10" s="42" t="s">
        <v>1880</v>
      </c>
      <c r="B10" s="41">
        <v>33456</v>
      </c>
      <c r="C10" s="41">
        <v>39552</v>
      </c>
      <c r="D10" s="41">
        <v>44256</v>
      </c>
      <c r="E10" s="41">
        <v>43188</v>
      </c>
      <c r="F10" s="41">
        <v>160452</v>
      </c>
    </row>
    <row r="11" spans="1:6" x14ac:dyDescent="0.3">
      <c r="A11" s="42" t="s">
        <v>222</v>
      </c>
      <c r="B11" s="41">
        <v>143052</v>
      </c>
      <c r="C11" s="41">
        <v>144972</v>
      </c>
      <c r="D11" s="41">
        <v>165888</v>
      </c>
      <c r="E11" s="41">
        <v>163884</v>
      </c>
      <c r="F11" s="41">
        <v>617796</v>
      </c>
    </row>
    <row r="12" spans="1:6" x14ac:dyDescent="0.3">
      <c r="A12" s="42" t="s">
        <v>1632</v>
      </c>
      <c r="B12" s="41">
        <v>85692</v>
      </c>
      <c r="C12" s="41">
        <v>88404</v>
      </c>
      <c r="D12" s="41">
        <v>90132</v>
      </c>
      <c r="E12" s="41">
        <v>91188</v>
      </c>
      <c r="F12" s="41">
        <v>355416</v>
      </c>
    </row>
    <row r="13" spans="1:6" x14ac:dyDescent="0.3">
      <c r="A13" s="42" t="s">
        <v>4250</v>
      </c>
      <c r="B13" s="41">
        <v>560892</v>
      </c>
      <c r="C13" s="41"/>
      <c r="D13" s="41"/>
      <c r="E13" s="41"/>
      <c r="F13" s="41">
        <v>560892</v>
      </c>
    </row>
    <row r="14" spans="1:6" x14ac:dyDescent="0.3">
      <c r="A14" s="42" t="s">
        <v>335</v>
      </c>
      <c r="B14" s="41">
        <v>541932</v>
      </c>
      <c r="C14" s="41">
        <v>603456</v>
      </c>
      <c r="D14" s="41">
        <v>671616</v>
      </c>
      <c r="E14" s="41">
        <v>682692</v>
      </c>
      <c r="F14" s="41">
        <v>2499696</v>
      </c>
    </row>
    <row r="15" spans="1:6" x14ac:dyDescent="0.3">
      <c r="A15" s="42" t="s">
        <v>1406</v>
      </c>
      <c r="B15" s="41">
        <v>88080</v>
      </c>
      <c r="C15" s="41">
        <v>90144</v>
      </c>
      <c r="D15" s="41">
        <v>91968</v>
      </c>
      <c r="E15" s="41">
        <v>100608</v>
      </c>
      <c r="F15" s="41">
        <v>370800</v>
      </c>
    </row>
    <row r="16" spans="1:6" x14ac:dyDescent="0.3">
      <c r="A16" s="42" t="s">
        <v>324</v>
      </c>
      <c r="B16" s="41">
        <v>562044</v>
      </c>
      <c r="C16" s="41">
        <v>575136</v>
      </c>
      <c r="D16" s="41">
        <v>602364</v>
      </c>
      <c r="E16" s="41">
        <v>640212</v>
      </c>
      <c r="F16" s="41">
        <v>2379756</v>
      </c>
    </row>
    <row r="17" spans="1:6" x14ac:dyDescent="0.3">
      <c r="A17" s="42" t="s">
        <v>69</v>
      </c>
      <c r="B17" s="41">
        <v>67992</v>
      </c>
      <c r="C17" s="41">
        <v>69576</v>
      </c>
      <c r="D17" s="41">
        <v>70932</v>
      </c>
      <c r="E17" s="41">
        <v>72072</v>
      </c>
      <c r="F17" s="41">
        <v>280572</v>
      </c>
    </row>
    <row r="18" spans="1:6" x14ac:dyDescent="0.3">
      <c r="A18" s="42" t="s">
        <v>2475</v>
      </c>
      <c r="B18" s="41">
        <v>42756</v>
      </c>
      <c r="C18" s="41">
        <v>44700</v>
      </c>
      <c r="D18" s="41">
        <v>45036</v>
      </c>
      <c r="E18" s="41">
        <v>46044</v>
      </c>
      <c r="F18" s="41">
        <v>178536</v>
      </c>
    </row>
    <row r="19" spans="1:6" x14ac:dyDescent="0.3">
      <c r="A19" s="42" t="s">
        <v>263</v>
      </c>
      <c r="B19" s="41">
        <v>230316</v>
      </c>
      <c r="C19" s="41">
        <v>241908</v>
      </c>
      <c r="D19" s="41">
        <v>246624</v>
      </c>
      <c r="E19" s="41">
        <v>250212</v>
      </c>
      <c r="F19" s="41">
        <v>969060</v>
      </c>
    </row>
    <row r="20" spans="1:6" x14ac:dyDescent="0.3">
      <c r="A20" s="42" t="s">
        <v>2814</v>
      </c>
      <c r="B20" s="41">
        <v>345204</v>
      </c>
      <c r="C20" s="41">
        <v>377772</v>
      </c>
      <c r="D20" s="41">
        <v>404220</v>
      </c>
      <c r="E20" s="41">
        <v>420192</v>
      </c>
      <c r="F20" s="41">
        <v>1547388</v>
      </c>
    </row>
    <row r="21" spans="1:6" x14ac:dyDescent="0.3">
      <c r="A21" s="42" t="s">
        <v>4253</v>
      </c>
      <c r="B21" s="41">
        <v>5008164</v>
      </c>
      <c r="C21" s="41">
        <v>5319600</v>
      </c>
      <c r="D21" s="41">
        <v>5630664</v>
      </c>
      <c r="E21" s="41">
        <v>5764860</v>
      </c>
      <c r="F21" s="41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7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2025-09-05T00:11:24Z</dcterms:modified>
</cp:coreProperties>
</file>